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Originais" sheetId="1" state="visible" r:id="rId1"/>
    <sheet xmlns:r="http://schemas.openxmlformats.org/officeDocument/2006/relationships" name="Dados Tratados" sheetId="2" state="visible" r:id="rId2"/>
    <sheet xmlns:r="http://schemas.openxmlformats.org/officeDocument/2006/relationships" name="passo 1.5" sheetId="3" state="visible" r:id="rId3"/>
    <sheet xmlns:r="http://schemas.openxmlformats.org/officeDocument/2006/relationships" name="passo 1.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Idade</t>
        </is>
      </c>
      <c r="B1" s="1" t="inlineStr">
        <is>
          <t>Renda_Mensal</t>
        </is>
      </c>
      <c r="C1" s="1" t="inlineStr">
        <is>
          <t>Estado_Civil</t>
        </is>
      </c>
      <c r="D1" s="1" t="inlineStr">
        <is>
          <t>Valor_Compras</t>
        </is>
      </c>
      <c r="E1" s="1" t="inlineStr">
        <is>
          <t>Numero_Compras</t>
        </is>
      </c>
      <c r="F1" s="1" t="inlineStr">
        <is>
          <t>Classe</t>
        </is>
      </c>
      <c r="G1" s="1" t="inlineStr">
        <is>
          <t>Particao</t>
        </is>
      </c>
    </row>
    <row r="2">
      <c r="A2" t="n">
        <v>22</v>
      </c>
      <c r="B2" t="n">
        <v>2200</v>
      </c>
      <c r="C2" t="inlineStr">
        <is>
          <t>Casado</t>
        </is>
      </c>
      <c r="D2" t="n">
        <v>300</v>
      </c>
      <c r="E2" t="n">
        <v>2</v>
      </c>
      <c r="F2" t="n">
        <v>0</v>
      </c>
      <c r="G2" t="inlineStr">
        <is>
          <t>Treinamento</t>
        </is>
      </c>
    </row>
    <row r="3">
      <c r="A3" t="n">
        <v>27</v>
      </c>
      <c r="B3" t="n">
        <v>2800</v>
      </c>
      <c r="C3" t="inlineStr">
        <is>
          <t>Casado</t>
        </is>
      </c>
      <c r="D3" t="n">
        <v>450</v>
      </c>
      <c r="E3" t="n">
        <v>3</v>
      </c>
      <c r="F3" t="n">
        <v>0</v>
      </c>
      <c r="G3" t="inlineStr">
        <is>
          <t>Treinamento</t>
        </is>
      </c>
    </row>
    <row r="4">
      <c r="A4" t="n">
        <v>31</v>
      </c>
      <c r="B4" t="n">
        <v>3200</v>
      </c>
      <c r="C4" t="inlineStr">
        <is>
          <t>Casado</t>
        </is>
      </c>
      <c r="D4" t="n">
        <v>520</v>
      </c>
      <c r="E4" t="n">
        <v>4</v>
      </c>
      <c r="F4" t="n">
        <v>0</v>
      </c>
      <c r="G4" t="inlineStr">
        <is>
          <t>Treinamento</t>
        </is>
      </c>
    </row>
    <row r="5">
      <c r="A5" t="n">
        <v>35</v>
      </c>
      <c r="B5" t="n">
        <v>4500</v>
      </c>
      <c r="C5" t="inlineStr">
        <is>
          <t>Casado</t>
        </is>
      </c>
      <c r="D5" t="n">
        <v>700</v>
      </c>
      <c r="E5" t="n">
        <v>5</v>
      </c>
      <c r="F5" t="n">
        <v>0</v>
      </c>
      <c r="G5" t="inlineStr">
        <is>
          <t>Teste</t>
        </is>
      </c>
    </row>
    <row r="6">
      <c r="A6" t="n">
        <v>39</v>
      </c>
      <c r="B6" t="n">
        <v>5200</v>
      </c>
      <c r="C6" t="inlineStr">
        <is>
          <t>Casado</t>
        </is>
      </c>
      <c r="D6" t="n">
        <v>850</v>
      </c>
      <c r="E6" t="n">
        <v>6</v>
      </c>
      <c r="F6" t="n">
        <v>0</v>
      </c>
      <c r="G6" t="inlineStr">
        <is>
          <t>Treinamento</t>
        </is>
      </c>
    </row>
    <row r="7">
      <c r="A7" t="n">
        <v>42</v>
      </c>
      <c r="B7" t="n">
        <v>6100</v>
      </c>
      <c r="C7" t="inlineStr">
        <is>
          <t>Casado</t>
        </is>
      </c>
      <c r="D7" t="n">
        <v>1100</v>
      </c>
      <c r="E7" t="n">
        <v>8</v>
      </c>
      <c r="F7" t="n">
        <v>0</v>
      </c>
      <c r="G7" t="inlineStr">
        <is>
          <t>Treinamento</t>
        </is>
      </c>
    </row>
    <row r="8">
      <c r="A8" t="n">
        <v>46</v>
      </c>
      <c r="B8" t="n">
        <v>7500</v>
      </c>
      <c r="C8" t="inlineStr">
        <is>
          <t>Casado</t>
        </is>
      </c>
      <c r="D8" t="n">
        <v>1250</v>
      </c>
      <c r="E8" t="n">
        <v>9</v>
      </c>
      <c r="F8" t="n">
        <v>0</v>
      </c>
      <c r="G8" t="inlineStr">
        <is>
          <t>Teste</t>
        </is>
      </c>
    </row>
    <row r="9">
      <c r="A9" t="n">
        <v>49</v>
      </c>
      <c r="C9" t="inlineStr">
        <is>
          <t>Solteiro</t>
        </is>
      </c>
      <c r="D9" t="n">
        <v>1400</v>
      </c>
      <c r="E9" t="n">
        <v>10</v>
      </c>
      <c r="F9" t="n">
        <v>1</v>
      </c>
      <c r="G9" t="inlineStr">
        <is>
          <t>Treinamento</t>
        </is>
      </c>
    </row>
    <row r="10">
      <c r="A10" t="n">
        <v>52</v>
      </c>
      <c r="B10" t="n">
        <v>9800</v>
      </c>
      <c r="C10" t="inlineStr">
        <is>
          <t>Casado</t>
        </is>
      </c>
      <c r="D10" t="n">
        <v>1700</v>
      </c>
      <c r="E10" t="n">
        <v>12</v>
      </c>
      <c r="F10" t="n">
        <v>1</v>
      </c>
      <c r="G10" t="inlineStr">
        <is>
          <t>Teste</t>
        </is>
      </c>
    </row>
    <row r="11">
      <c r="A11" t="n">
        <v>55</v>
      </c>
      <c r="B11" t="n">
        <v>11000</v>
      </c>
      <c r="C11" t="inlineStr">
        <is>
          <t>Casado</t>
        </is>
      </c>
      <c r="D11" t="n">
        <v>2100</v>
      </c>
      <c r="E11" t="n">
        <v>14</v>
      </c>
      <c r="F11" t="n">
        <v>1</v>
      </c>
      <c r="G11" t="inlineStr">
        <is>
          <t>Treinamento</t>
        </is>
      </c>
    </row>
    <row r="12">
      <c r="A12" t="n">
        <v>58</v>
      </c>
      <c r="B12" t="n">
        <v>13500</v>
      </c>
      <c r="C12" t="inlineStr">
        <is>
          <t>Casado</t>
        </is>
      </c>
      <c r="D12" t="n">
        <v>2500</v>
      </c>
      <c r="E12" t="n">
        <v>16</v>
      </c>
      <c r="F12" t="n">
        <v>1</v>
      </c>
      <c r="G12" t="inlineStr">
        <is>
          <t>Treinamento</t>
        </is>
      </c>
    </row>
    <row r="13">
      <c r="A13" t="n">
        <v>61</v>
      </c>
      <c r="B13" t="n">
        <v>15000</v>
      </c>
      <c r="C13" t="inlineStr">
        <is>
          <t>Casado</t>
        </is>
      </c>
      <c r="D13" t="n">
        <v>2900</v>
      </c>
      <c r="E13" t="n">
        <v>18</v>
      </c>
      <c r="F13" t="n">
        <v>1</v>
      </c>
      <c r="G13" t="inlineStr">
        <is>
          <t>Teste</t>
        </is>
      </c>
    </row>
    <row r="14">
      <c r="A14" t="n">
        <v>64</v>
      </c>
      <c r="C14" t="inlineStr">
        <is>
          <t>Casado</t>
        </is>
      </c>
      <c r="D14" t="n">
        <v>3200</v>
      </c>
      <c r="E14" t="n">
        <v>20</v>
      </c>
      <c r="F14" t="n">
        <v>1</v>
      </c>
      <c r="G14" t="inlineStr">
        <is>
          <t>Teste</t>
        </is>
      </c>
    </row>
    <row r="15">
      <c r="A15" t="n">
        <v>68</v>
      </c>
      <c r="B15" t="n">
        <v>21000</v>
      </c>
      <c r="C15" t="inlineStr">
        <is>
          <t>Casado</t>
        </is>
      </c>
      <c r="D15" t="n">
        <v>3800</v>
      </c>
      <c r="E15" t="n">
        <v>24</v>
      </c>
      <c r="F15" t="n">
        <v>1</v>
      </c>
      <c r="G15" t="inlineStr">
        <is>
          <t>Treinamento</t>
        </is>
      </c>
    </row>
    <row r="16">
      <c r="A16" t="n">
        <v>72</v>
      </c>
      <c r="B16" t="n">
        <v>30000</v>
      </c>
      <c r="C16" t="inlineStr">
        <is>
          <t>Casado</t>
        </is>
      </c>
      <c r="D16" t="n">
        <v>4500</v>
      </c>
      <c r="E16" t="n">
        <v>30</v>
      </c>
      <c r="F16" t="n">
        <v>1</v>
      </c>
      <c r="G16" t="inlineStr">
        <is>
          <t>Teste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Idade</t>
        </is>
      </c>
      <c r="B1" s="1" t="inlineStr">
        <is>
          <t>Renda_Mensal</t>
        </is>
      </c>
      <c r="C1" s="1" t="inlineStr">
        <is>
          <t>Valor_Compras</t>
        </is>
      </c>
      <c r="D1" s="1" t="inlineStr">
        <is>
          <t>Numero_Compras</t>
        </is>
      </c>
      <c r="E1" s="1" t="inlineStr">
        <is>
          <t>Classe</t>
        </is>
      </c>
      <c r="F1" s="1" t="inlineStr">
        <is>
          <t>Ticket_Medio</t>
        </is>
      </c>
      <c r="G1" s="1" t="inlineStr">
        <is>
          <t>Particao</t>
        </is>
      </c>
    </row>
    <row r="2">
      <c r="A2">
        <f>'Dados Originais'!A2</f>
        <v/>
      </c>
      <c r="B2">
        <f>SE(ÉNÚM('Dados Originais'!B2);'Dados Originais'!B2;MED('Dados Originais'!B2;'Dados Originais'!B3;'Dados Originais'!B4;'Dados Originais'!B6;'Dados Originais'!B7;'Dados Originais'!B11;'Dados Originais'!B12;'Dados Originais'!B15))</f>
        <v/>
      </c>
      <c r="C2">
        <f>'Dados Originais'!D2</f>
        <v/>
      </c>
      <c r="D2">
        <f>'Dados Originais'!E2</f>
        <v/>
      </c>
      <c r="E2">
        <f>'Dados Originais'!F2</f>
        <v/>
      </c>
      <c r="F2">
        <f>C2/D2</f>
        <v/>
      </c>
      <c r="G2">
        <f>'Dados Originais'!G2</f>
        <v/>
      </c>
    </row>
    <row r="3">
      <c r="A3">
        <f>'Dados Originais'!A3</f>
        <v/>
      </c>
      <c r="B3">
        <f>SE(ÉNÚM('Dados Originais'!B3);'Dados Originais'!B3;MED('Dados Originais'!B2;'Dados Originais'!B3;'Dados Originais'!B4;'Dados Originais'!B6;'Dados Originais'!B7;'Dados Originais'!B11;'Dados Originais'!B12;'Dados Originais'!B15))</f>
        <v/>
      </c>
      <c r="C3">
        <f>'Dados Originais'!D3</f>
        <v/>
      </c>
      <c r="D3">
        <f>'Dados Originais'!E3</f>
        <v/>
      </c>
      <c r="E3">
        <f>'Dados Originais'!F3</f>
        <v/>
      </c>
      <c r="F3">
        <f>C3/D3</f>
        <v/>
      </c>
      <c r="G3">
        <f>'Dados Originais'!G3</f>
        <v/>
      </c>
    </row>
    <row r="4">
      <c r="A4">
        <f>'Dados Originais'!A4</f>
        <v/>
      </c>
      <c r="B4">
        <f>SE(ÉNÚM('Dados Originais'!B4);'Dados Originais'!B4;MED('Dados Originais'!B2;'Dados Originais'!B3;'Dados Originais'!B4;'Dados Originais'!B6;'Dados Originais'!B7;'Dados Originais'!B11;'Dados Originais'!B12;'Dados Originais'!B15))</f>
        <v/>
      </c>
      <c r="C4">
        <f>'Dados Originais'!D4</f>
        <v/>
      </c>
      <c r="D4">
        <f>'Dados Originais'!E4</f>
        <v/>
      </c>
      <c r="E4">
        <f>'Dados Originais'!F4</f>
        <v/>
      </c>
      <c r="F4">
        <f>C4/D4</f>
        <v/>
      </c>
      <c r="G4">
        <f>'Dados Originais'!G4</f>
        <v/>
      </c>
    </row>
    <row r="5">
      <c r="A5">
        <f>'Dados Originais'!A5</f>
        <v/>
      </c>
      <c r="B5">
        <f>SE(ÉNÚM('Dados Originais'!B5);'Dados Originais'!B5;MED('Dados Originais'!B2;'Dados Originais'!B3;'Dados Originais'!B4;'Dados Originais'!B6;'Dados Originais'!B7;'Dados Originais'!B11;'Dados Originais'!B12;'Dados Originais'!B15))</f>
        <v/>
      </c>
      <c r="C5">
        <f>'Dados Originais'!D5</f>
        <v/>
      </c>
      <c r="D5">
        <f>'Dados Originais'!E5</f>
        <v/>
      </c>
      <c r="E5">
        <f>'Dados Originais'!F5</f>
        <v/>
      </c>
      <c r="F5">
        <f>C5/D5</f>
        <v/>
      </c>
      <c r="G5">
        <f>'Dados Originais'!G5</f>
        <v/>
      </c>
    </row>
    <row r="6">
      <c r="A6">
        <f>'Dados Originais'!A6</f>
        <v/>
      </c>
      <c r="B6">
        <f>SE(ÉNÚM('Dados Originais'!B6);'Dados Originais'!B6;MED('Dados Originais'!B2;'Dados Originais'!B3;'Dados Originais'!B4;'Dados Originais'!B6;'Dados Originais'!B7;'Dados Originais'!B11;'Dados Originais'!B12;'Dados Originais'!B15))</f>
        <v/>
      </c>
      <c r="C6">
        <f>'Dados Originais'!D6</f>
        <v/>
      </c>
      <c r="D6">
        <f>'Dados Originais'!E6</f>
        <v/>
      </c>
      <c r="E6">
        <f>'Dados Originais'!F6</f>
        <v/>
      </c>
      <c r="F6">
        <f>C6/D6</f>
        <v/>
      </c>
      <c r="G6">
        <f>'Dados Originais'!G6</f>
        <v/>
      </c>
    </row>
    <row r="7">
      <c r="A7">
        <f>'Dados Originais'!A7</f>
        <v/>
      </c>
      <c r="B7">
        <f>SE(ÉNÚM('Dados Originais'!B7);'Dados Originais'!B7;MED('Dados Originais'!B2;'Dados Originais'!B3;'Dados Originais'!B4;'Dados Originais'!B6;'Dados Originais'!B7;'Dados Originais'!B11;'Dados Originais'!B12;'Dados Originais'!B15))</f>
        <v/>
      </c>
      <c r="C7">
        <f>'Dados Originais'!D7</f>
        <v/>
      </c>
      <c r="D7">
        <f>'Dados Originais'!E7</f>
        <v/>
      </c>
      <c r="E7">
        <f>'Dados Originais'!F7</f>
        <v/>
      </c>
      <c r="F7">
        <f>C7/D7</f>
        <v/>
      </c>
      <c r="G7">
        <f>'Dados Originais'!G7</f>
        <v/>
      </c>
    </row>
    <row r="8">
      <c r="A8">
        <f>'Dados Originais'!A8</f>
        <v/>
      </c>
      <c r="B8">
        <f>SE(ÉNÚM('Dados Originais'!B8);'Dados Originais'!B8;MED('Dados Originais'!B2;'Dados Originais'!B3;'Dados Originais'!B4;'Dados Originais'!B6;'Dados Originais'!B7;'Dados Originais'!B11;'Dados Originais'!B12;'Dados Originais'!B15))</f>
        <v/>
      </c>
      <c r="C8">
        <f>'Dados Originais'!D8</f>
        <v/>
      </c>
      <c r="D8">
        <f>'Dados Originais'!E8</f>
        <v/>
      </c>
      <c r="E8">
        <f>'Dados Originais'!F8</f>
        <v/>
      </c>
      <c r="F8">
        <f>C8/D8</f>
        <v/>
      </c>
      <c r="G8">
        <f>'Dados Originais'!G8</f>
        <v/>
      </c>
    </row>
    <row r="9">
      <c r="A9">
        <f>'Dados Originais'!A9</f>
        <v/>
      </c>
      <c r="B9">
        <f>SE(ÉNÚM('Dados Originais'!B9);'Dados Originais'!B9;MED('Dados Originais'!B2;'Dados Originais'!B3;'Dados Originais'!B4;'Dados Originais'!B6;'Dados Originais'!B7;'Dados Originais'!B11;'Dados Originais'!B12;'Dados Originais'!B15))</f>
        <v/>
      </c>
      <c r="C9">
        <f>'Dados Originais'!D9</f>
        <v/>
      </c>
      <c r="D9">
        <f>'Dados Originais'!E9</f>
        <v/>
      </c>
      <c r="E9">
        <f>'Dados Originais'!F9</f>
        <v/>
      </c>
      <c r="F9">
        <f>C9/D9</f>
        <v/>
      </c>
      <c r="G9">
        <f>'Dados Originais'!G9</f>
        <v/>
      </c>
    </row>
    <row r="10">
      <c r="A10">
        <f>'Dados Originais'!A10</f>
        <v/>
      </c>
      <c r="B10">
        <f>SE(ÉNÚM('Dados Originais'!B10);'Dados Originais'!B10;MED('Dados Originais'!B2;'Dados Originais'!B3;'Dados Originais'!B4;'Dados Originais'!B6;'Dados Originais'!B7;'Dados Originais'!B11;'Dados Originais'!B12;'Dados Originais'!B15))</f>
        <v/>
      </c>
      <c r="C10">
        <f>'Dados Originais'!D10</f>
        <v/>
      </c>
      <c r="D10">
        <f>'Dados Originais'!E10</f>
        <v/>
      </c>
      <c r="E10">
        <f>'Dados Originais'!F10</f>
        <v/>
      </c>
      <c r="F10">
        <f>C10/D10</f>
        <v/>
      </c>
      <c r="G10">
        <f>'Dados Originais'!G10</f>
        <v/>
      </c>
    </row>
    <row r="11">
      <c r="A11">
        <f>'Dados Originais'!A11</f>
        <v/>
      </c>
      <c r="B11">
        <f>SE(ÉNÚM('Dados Originais'!B11);'Dados Originais'!B11;MED('Dados Originais'!B2;'Dados Originais'!B3;'Dados Originais'!B4;'Dados Originais'!B6;'Dados Originais'!B7;'Dados Originais'!B11;'Dados Originais'!B12;'Dados Originais'!B15))</f>
        <v/>
      </c>
      <c r="C11">
        <f>'Dados Originais'!D11</f>
        <v/>
      </c>
      <c r="D11">
        <f>'Dados Originais'!E11</f>
        <v/>
      </c>
      <c r="E11">
        <f>'Dados Originais'!F11</f>
        <v/>
      </c>
      <c r="F11">
        <f>C11/D11</f>
        <v/>
      </c>
      <c r="G11">
        <f>'Dados Originais'!G11</f>
        <v/>
      </c>
    </row>
    <row r="12">
      <c r="A12">
        <f>'Dados Originais'!A12</f>
        <v/>
      </c>
      <c r="B12">
        <f>SE(ÉNÚM('Dados Originais'!B12);'Dados Originais'!B12;MED('Dados Originais'!B2;'Dados Originais'!B3;'Dados Originais'!B4;'Dados Originais'!B6;'Dados Originais'!B7;'Dados Originais'!B11;'Dados Originais'!B12;'Dados Originais'!B15))</f>
        <v/>
      </c>
      <c r="C12">
        <f>'Dados Originais'!D12</f>
        <v/>
      </c>
      <c r="D12">
        <f>'Dados Originais'!E12</f>
        <v/>
      </c>
      <c r="E12">
        <f>'Dados Originais'!F12</f>
        <v/>
      </c>
      <c r="F12">
        <f>C12/D12</f>
        <v/>
      </c>
      <c r="G12">
        <f>'Dados Originais'!G12</f>
        <v/>
      </c>
    </row>
    <row r="13">
      <c r="A13">
        <f>'Dados Originais'!A13</f>
        <v/>
      </c>
      <c r="B13">
        <f>SE(ÉNÚM('Dados Originais'!B13);'Dados Originais'!B13;MED('Dados Originais'!B2;'Dados Originais'!B3;'Dados Originais'!B4;'Dados Originais'!B6;'Dados Originais'!B7;'Dados Originais'!B11;'Dados Originais'!B12;'Dados Originais'!B15))</f>
        <v/>
      </c>
      <c r="C13">
        <f>'Dados Originais'!D13</f>
        <v/>
      </c>
      <c r="D13">
        <f>'Dados Originais'!E13</f>
        <v/>
      </c>
      <c r="E13">
        <f>'Dados Originais'!F13</f>
        <v/>
      </c>
      <c r="F13">
        <f>C13/D13</f>
        <v/>
      </c>
      <c r="G13">
        <f>'Dados Originais'!G13</f>
        <v/>
      </c>
    </row>
    <row r="14">
      <c r="A14">
        <f>'Dados Originais'!A14</f>
        <v/>
      </c>
      <c r="B14">
        <f>SE(ÉNÚM('Dados Originais'!B14);'Dados Originais'!B14;MED('Dados Originais'!B2;'Dados Originais'!B3;'Dados Originais'!B4;'Dados Originais'!B6;'Dados Originais'!B7;'Dados Originais'!B11;'Dados Originais'!B12;'Dados Originais'!B15))</f>
        <v/>
      </c>
      <c r="C14">
        <f>'Dados Originais'!D14</f>
        <v/>
      </c>
      <c r="D14">
        <f>'Dados Originais'!E14</f>
        <v/>
      </c>
      <c r="E14">
        <f>'Dados Originais'!F14</f>
        <v/>
      </c>
      <c r="F14">
        <f>C14/D14</f>
        <v/>
      </c>
      <c r="G14">
        <f>'Dados Originais'!G14</f>
        <v/>
      </c>
    </row>
    <row r="15">
      <c r="A15">
        <f>'Dados Originais'!A15</f>
        <v/>
      </c>
      <c r="B15">
        <f>SE(ÉNÚM('Dados Originais'!B15);'Dados Originais'!B15;MED('Dados Originais'!B2;'Dados Originais'!B3;'Dados Originais'!B4;'Dados Originais'!B6;'Dados Originais'!B7;'Dados Originais'!B11;'Dados Originais'!B12;'Dados Originais'!B15))</f>
        <v/>
      </c>
      <c r="C15">
        <f>'Dados Originais'!D15</f>
        <v/>
      </c>
      <c r="D15">
        <f>'Dados Originais'!E15</f>
        <v/>
      </c>
      <c r="E15">
        <f>'Dados Originais'!F15</f>
        <v/>
      </c>
      <c r="F15">
        <f>C15/D15</f>
        <v/>
      </c>
      <c r="G15">
        <f>'Dados Originais'!G15</f>
        <v/>
      </c>
    </row>
    <row r="16">
      <c r="A16">
        <f>'Dados Originais'!A16</f>
        <v/>
      </c>
      <c r="B16">
        <f>SE(ÉNÚM('Dados Originais'!B16);'Dados Originais'!B16;MED('Dados Originais'!B2;'Dados Originais'!B3;'Dados Originais'!B4;'Dados Originais'!B6;'Dados Originais'!B7;'Dados Originais'!B11;'Dados Originais'!B12;'Dados Originais'!B15))</f>
        <v/>
      </c>
      <c r="C16">
        <f>'Dados Originais'!D16</f>
        <v/>
      </c>
      <c r="D16">
        <f>'Dados Originais'!E16</f>
        <v/>
      </c>
      <c r="E16">
        <f>'Dados Originais'!F16</f>
        <v/>
      </c>
      <c r="F16">
        <f>C16/D16</f>
        <v/>
      </c>
      <c r="G16">
        <f>'Dados Originais'!G16</f>
        <v/>
      </c>
    </row>
    <row r="18">
      <c r="A18" t="inlineStr">
        <is>
          <t>Mediana (só treino):</t>
        </is>
      </c>
      <c r="B18" s="1">
        <f>MED('Dados Originais'!B2;'Dados Originais'!B3;'Dados Originais'!B4;'Dados Originais'!B6;'Dados Originais'!B7;'Dados Originais'!B11;'Dados Originais'!B12;'Dados Originais'!B15)</f>
        <v/>
      </c>
    </row>
    <row r="19">
      <c r="A19" t="inlineStr">
        <is>
          <t>Resultado esperado: 5650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Idade</t>
        </is>
      </c>
      <c r="B1" s="1" t="inlineStr">
        <is>
          <t>Renda_Original</t>
        </is>
      </c>
      <c r="C1" s="1" t="inlineStr">
        <is>
          <t>Renda_Tratada</t>
        </is>
      </c>
      <c r="D1" s="1" t="inlineStr">
        <is>
          <t>Imputado</t>
        </is>
      </c>
      <c r="E1" s="1" t="inlineStr">
        <is>
          <t>Valor_Compras</t>
        </is>
      </c>
      <c r="F1" s="1" t="inlineStr">
        <is>
          <t>Numero_Compras</t>
        </is>
      </c>
      <c r="G1" s="1" t="inlineStr">
        <is>
          <t>Classe</t>
        </is>
      </c>
      <c r="H1" s="1" t="inlineStr">
        <is>
          <t>Particao</t>
        </is>
      </c>
    </row>
    <row r="2">
      <c r="A2">
        <f>'Dados Originais'!A2</f>
        <v/>
      </c>
      <c r="B2">
        <f>'Dados Originais'!B2</f>
        <v/>
      </c>
      <c r="C2">
        <f>SE(ÉNÚM(B2);B2;MED('Dados Originais'!B2;'Dados Originais'!B3;'Dados Originais'!B4;'Dados Originais'!B6;'Dados Originais'!B7;'Dados Originais'!B11;'Dados Originais'!B12;'Dados Originais'!B15))</f>
        <v/>
      </c>
      <c r="D2">
        <f>SE(ÉNÚM(B2);"NÃO";"SIM - Mediana 5650")</f>
        <v/>
      </c>
      <c r="E2">
        <f>'Dados Originais'!D2</f>
        <v/>
      </c>
      <c r="F2">
        <f>'Dados Originais'!E2</f>
        <v/>
      </c>
      <c r="G2">
        <f>'Dados Originais'!F2</f>
        <v/>
      </c>
      <c r="H2">
        <f>'Dados Originais'!G2</f>
        <v/>
      </c>
    </row>
    <row r="3">
      <c r="A3">
        <f>'Dados Originais'!A3</f>
        <v/>
      </c>
      <c r="B3">
        <f>'Dados Originais'!B3</f>
        <v/>
      </c>
      <c r="C3">
        <f>SE(ÉNÚM(B3);B3;MED('Dados Originais'!B2;'Dados Originais'!B3;'Dados Originais'!B4;'Dados Originais'!B6;'Dados Originais'!B7;'Dados Originais'!B11;'Dados Originais'!B12;'Dados Originais'!B15))</f>
        <v/>
      </c>
      <c r="D3">
        <f>SE(ÉNÚM(B3);"NÃO";"SIM - Mediana 5650")</f>
        <v/>
      </c>
      <c r="E3">
        <f>'Dados Originais'!D3</f>
        <v/>
      </c>
      <c r="F3">
        <f>'Dados Originais'!E3</f>
        <v/>
      </c>
      <c r="G3">
        <f>'Dados Originais'!F3</f>
        <v/>
      </c>
      <c r="H3">
        <f>'Dados Originais'!G3</f>
        <v/>
      </c>
    </row>
    <row r="4">
      <c r="A4">
        <f>'Dados Originais'!A4</f>
        <v/>
      </c>
      <c r="B4">
        <f>'Dados Originais'!B4</f>
        <v/>
      </c>
      <c r="C4">
        <f>SE(ÉNÚM(B4);B4;MED('Dados Originais'!B2;'Dados Originais'!B3;'Dados Originais'!B4;'Dados Originais'!B6;'Dados Originais'!B7;'Dados Originais'!B11;'Dados Originais'!B12;'Dados Originais'!B15))</f>
        <v/>
      </c>
      <c r="D4">
        <f>SE(ÉNÚM(B4);"NÃO";"SIM - Mediana 5650")</f>
        <v/>
      </c>
      <c r="E4">
        <f>'Dados Originais'!D4</f>
        <v/>
      </c>
      <c r="F4">
        <f>'Dados Originais'!E4</f>
        <v/>
      </c>
      <c r="G4">
        <f>'Dados Originais'!F4</f>
        <v/>
      </c>
      <c r="H4">
        <f>'Dados Originais'!G4</f>
        <v/>
      </c>
    </row>
    <row r="5">
      <c r="A5">
        <f>'Dados Originais'!A5</f>
        <v/>
      </c>
      <c r="B5">
        <f>'Dados Originais'!B5</f>
        <v/>
      </c>
      <c r="C5">
        <f>SE(ÉNÚM(B5);B5;MED('Dados Originais'!B2;'Dados Originais'!B3;'Dados Originais'!B4;'Dados Originais'!B6;'Dados Originais'!B7;'Dados Originais'!B11;'Dados Originais'!B12;'Dados Originais'!B15))</f>
        <v/>
      </c>
      <c r="D5">
        <f>SE(ÉNÚM(B5);"NÃO";"SIM - Mediana 5650")</f>
        <v/>
      </c>
      <c r="E5">
        <f>'Dados Originais'!D5</f>
        <v/>
      </c>
      <c r="F5">
        <f>'Dados Originais'!E5</f>
        <v/>
      </c>
      <c r="G5">
        <f>'Dados Originais'!F5</f>
        <v/>
      </c>
      <c r="H5">
        <f>'Dados Originais'!G5</f>
        <v/>
      </c>
    </row>
    <row r="6">
      <c r="A6">
        <f>'Dados Originais'!A6</f>
        <v/>
      </c>
      <c r="B6">
        <f>'Dados Originais'!B6</f>
        <v/>
      </c>
      <c r="C6">
        <f>SE(ÉNÚM(B6);B6;MED('Dados Originais'!B2;'Dados Originais'!B3;'Dados Originais'!B4;'Dados Originais'!B6;'Dados Originais'!B7;'Dados Originais'!B11;'Dados Originais'!B12;'Dados Originais'!B15))</f>
        <v/>
      </c>
      <c r="D6">
        <f>SE(ÉNÚM(B6);"NÃO";"SIM - Mediana 5650")</f>
        <v/>
      </c>
      <c r="E6">
        <f>'Dados Originais'!D6</f>
        <v/>
      </c>
      <c r="F6">
        <f>'Dados Originais'!E6</f>
        <v/>
      </c>
      <c r="G6">
        <f>'Dados Originais'!F6</f>
        <v/>
      </c>
      <c r="H6">
        <f>'Dados Originais'!G6</f>
        <v/>
      </c>
    </row>
    <row r="7">
      <c r="A7">
        <f>'Dados Originais'!A7</f>
        <v/>
      </c>
      <c r="B7">
        <f>'Dados Originais'!B7</f>
        <v/>
      </c>
      <c r="C7">
        <f>SE(ÉNÚM(B7);B7;MED('Dados Originais'!B2;'Dados Originais'!B3;'Dados Originais'!B4;'Dados Originais'!B6;'Dados Originais'!B7;'Dados Originais'!B11;'Dados Originais'!B12;'Dados Originais'!B15))</f>
        <v/>
      </c>
      <c r="D7">
        <f>SE(ÉNÚM(B7);"NÃO";"SIM - Mediana 5650")</f>
        <v/>
      </c>
      <c r="E7">
        <f>'Dados Originais'!D7</f>
        <v/>
      </c>
      <c r="F7">
        <f>'Dados Originais'!E7</f>
        <v/>
      </c>
      <c r="G7">
        <f>'Dados Originais'!F7</f>
        <v/>
      </c>
      <c r="H7">
        <f>'Dados Originais'!G7</f>
        <v/>
      </c>
    </row>
    <row r="8">
      <c r="A8">
        <f>'Dados Originais'!A8</f>
        <v/>
      </c>
      <c r="B8">
        <f>'Dados Originais'!B8</f>
        <v/>
      </c>
      <c r="C8">
        <f>SE(ÉNÚM(B8);B8;MED('Dados Originais'!B2;'Dados Originais'!B3;'Dados Originais'!B4;'Dados Originais'!B6;'Dados Originais'!B7;'Dados Originais'!B11;'Dados Originais'!B12;'Dados Originais'!B15))</f>
        <v/>
      </c>
      <c r="D8">
        <f>SE(ÉNÚM(B8);"NÃO";"SIM - Mediana 5650")</f>
        <v/>
      </c>
      <c r="E8">
        <f>'Dados Originais'!D8</f>
        <v/>
      </c>
      <c r="F8">
        <f>'Dados Originais'!E8</f>
        <v/>
      </c>
      <c r="G8">
        <f>'Dados Originais'!F8</f>
        <v/>
      </c>
      <c r="H8">
        <f>'Dados Originais'!G8</f>
        <v/>
      </c>
    </row>
    <row r="9">
      <c r="A9">
        <f>'Dados Originais'!A9</f>
        <v/>
      </c>
      <c r="B9">
        <f>'Dados Originais'!B9</f>
        <v/>
      </c>
      <c r="C9">
        <f>SE(ÉNÚM(B9);B9;MED('Dados Originais'!B2;'Dados Originais'!B3;'Dados Originais'!B4;'Dados Originais'!B6;'Dados Originais'!B7;'Dados Originais'!B11;'Dados Originais'!B12;'Dados Originais'!B15))</f>
        <v/>
      </c>
      <c r="D9">
        <f>SE(ÉNÚM(B9);"NÃO";"SIM - Mediana 5650")</f>
        <v/>
      </c>
      <c r="E9">
        <f>'Dados Originais'!D9</f>
        <v/>
      </c>
      <c r="F9">
        <f>'Dados Originais'!E9</f>
        <v/>
      </c>
      <c r="G9">
        <f>'Dados Originais'!F9</f>
        <v/>
      </c>
      <c r="H9">
        <f>'Dados Originais'!G9</f>
        <v/>
      </c>
    </row>
    <row r="10">
      <c r="A10">
        <f>'Dados Originais'!A10</f>
        <v/>
      </c>
      <c r="B10">
        <f>'Dados Originais'!B10</f>
        <v/>
      </c>
      <c r="C10">
        <f>SE(ÉNÚM(B10);B10;MED('Dados Originais'!B2;'Dados Originais'!B3;'Dados Originais'!B4;'Dados Originais'!B6;'Dados Originais'!B7;'Dados Originais'!B11;'Dados Originais'!B12;'Dados Originais'!B15))</f>
        <v/>
      </c>
      <c r="D10">
        <f>SE(ÉNÚM(B10);"NÃO";"SIM - Mediana 5650")</f>
        <v/>
      </c>
      <c r="E10">
        <f>'Dados Originais'!D10</f>
        <v/>
      </c>
      <c r="F10">
        <f>'Dados Originais'!E10</f>
        <v/>
      </c>
      <c r="G10">
        <f>'Dados Originais'!F10</f>
        <v/>
      </c>
      <c r="H10">
        <f>'Dados Originais'!G10</f>
        <v/>
      </c>
    </row>
    <row r="11">
      <c r="A11">
        <f>'Dados Originais'!A11</f>
        <v/>
      </c>
      <c r="B11">
        <f>'Dados Originais'!B11</f>
        <v/>
      </c>
      <c r="C11">
        <f>SE(ÉNÚM(B11);B11;MED('Dados Originais'!B2;'Dados Originais'!B3;'Dados Originais'!B4;'Dados Originais'!B6;'Dados Originais'!B7;'Dados Originais'!B11;'Dados Originais'!B12;'Dados Originais'!B15))</f>
        <v/>
      </c>
      <c r="D11">
        <f>SE(ÉNÚM(B11);"NÃO";"SIM - Mediana 5650")</f>
        <v/>
      </c>
      <c r="E11">
        <f>'Dados Originais'!D11</f>
        <v/>
      </c>
      <c r="F11">
        <f>'Dados Originais'!E11</f>
        <v/>
      </c>
      <c r="G11">
        <f>'Dados Originais'!F11</f>
        <v/>
      </c>
      <c r="H11">
        <f>'Dados Originais'!G11</f>
        <v/>
      </c>
    </row>
    <row r="12">
      <c r="A12">
        <f>'Dados Originais'!A12</f>
        <v/>
      </c>
      <c r="B12">
        <f>'Dados Originais'!B12</f>
        <v/>
      </c>
      <c r="C12">
        <f>SE(ÉNÚM(B12);B12;MED('Dados Originais'!B2;'Dados Originais'!B3;'Dados Originais'!B4;'Dados Originais'!B6;'Dados Originais'!B7;'Dados Originais'!B11;'Dados Originais'!B12;'Dados Originais'!B15))</f>
        <v/>
      </c>
      <c r="D12">
        <f>SE(ÉNÚM(B12);"NÃO";"SIM - Mediana 5650")</f>
        <v/>
      </c>
      <c r="E12">
        <f>'Dados Originais'!D12</f>
        <v/>
      </c>
      <c r="F12">
        <f>'Dados Originais'!E12</f>
        <v/>
      </c>
      <c r="G12">
        <f>'Dados Originais'!F12</f>
        <v/>
      </c>
      <c r="H12">
        <f>'Dados Originais'!G12</f>
        <v/>
      </c>
    </row>
    <row r="13">
      <c r="A13">
        <f>'Dados Originais'!A13</f>
        <v/>
      </c>
      <c r="B13">
        <f>'Dados Originais'!B13</f>
        <v/>
      </c>
      <c r="C13">
        <f>SE(ÉNÚM(B13);B13;MED('Dados Originais'!B2;'Dados Originais'!B3;'Dados Originais'!B4;'Dados Originais'!B6;'Dados Originais'!B7;'Dados Originais'!B11;'Dados Originais'!B12;'Dados Originais'!B15))</f>
        <v/>
      </c>
      <c r="D13">
        <f>SE(ÉNÚM(B13);"NÃO";"SIM - Mediana 5650")</f>
        <v/>
      </c>
      <c r="E13">
        <f>'Dados Originais'!D13</f>
        <v/>
      </c>
      <c r="F13">
        <f>'Dados Originais'!E13</f>
        <v/>
      </c>
      <c r="G13">
        <f>'Dados Originais'!F13</f>
        <v/>
      </c>
      <c r="H13">
        <f>'Dados Originais'!G13</f>
        <v/>
      </c>
    </row>
    <row r="14">
      <c r="A14">
        <f>'Dados Originais'!A14</f>
        <v/>
      </c>
      <c r="B14">
        <f>'Dados Originais'!B14</f>
        <v/>
      </c>
      <c r="C14">
        <f>SE(ÉNÚM(B14);B14;MED('Dados Originais'!B2;'Dados Originais'!B3;'Dados Originais'!B4;'Dados Originais'!B6;'Dados Originais'!B7;'Dados Originais'!B11;'Dados Originais'!B12;'Dados Originais'!B15))</f>
        <v/>
      </c>
      <c r="D14">
        <f>SE(ÉNÚM(B14);"NÃO";"SIM - Mediana 5650")</f>
        <v/>
      </c>
      <c r="E14">
        <f>'Dados Originais'!D14</f>
        <v/>
      </c>
      <c r="F14">
        <f>'Dados Originais'!E14</f>
        <v/>
      </c>
      <c r="G14">
        <f>'Dados Originais'!F14</f>
        <v/>
      </c>
      <c r="H14">
        <f>'Dados Originais'!G14</f>
        <v/>
      </c>
    </row>
    <row r="15">
      <c r="A15">
        <f>'Dados Originais'!A15</f>
        <v/>
      </c>
      <c r="B15">
        <f>'Dados Originais'!B15</f>
        <v/>
      </c>
      <c r="C15">
        <f>SE(ÉNÚM(B15);B15;MED('Dados Originais'!B2;'Dados Originais'!B3;'Dados Originais'!B4;'Dados Originais'!B6;'Dados Originais'!B7;'Dados Originais'!B11;'Dados Originais'!B12;'Dados Originais'!B15))</f>
        <v/>
      </c>
      <c r="D15">
        <f>SE(ÉNÚM(B15);"NÃO";"SIM - Mediana 5650")</f>
        <v/>
      </c>
      <c r="E15">
        <f>'Dados Originais'!D15</f>
        <v/>
      </c>
      <c r="F15">
        <f>'Dados Originais'!E15</f>
        <v/>
      </c>
      <c r="G15">
        <f>'Dados Originais'!F15</f>
        <v/>
      </c>
      <c r="H15">
        <f>'Dados Originais'!G15</f>
        <v/>
      </c>
    </row>
    <row r="16">
      <c r="A16">
        <f>'Dados Originais'!A16</f>
        <v/>
      </c>
      <c r="B16">
        <f>'Dados Originais'!B16</f>
        <v/>
      </c>
      <c r="C16">
        <f>SE(ÉNÚM(B16);B16;MED('Dados Originais'!B2;'Dados Originais'!B3;'Dados Originais'!B4;'Dados Originais'!B6;'Dados Originais'!B7;'Dados Originais'!B11;'Dados Originais'!B12;'Dados Originais'!B15))</f>
        <v/>
      </c>
      <c r="D16">
        <f>SE(ÉNÚM(B16);"NÃO";"SIM - Mediana 5650")</f>
        <v/>
      </c>
      <c r="E16">
        <f>'Dados Originais'!D16</f>
        <v/>
      </c>
      <c r="F16">
        <f>'Dados Originais'!E16</f>
        <v/>
      </c>
      <c r="G16">
        <f>'Dados Originais'!F16</f>
        <v/>
      </c>
      <c r="H16">
        <f>'Dados Originais'!G16</f>
        <v/>
      </c>
    </row>
    <row r="18">
      <c r="A18" s="1" t="inlineStr">
        <is>
          <t>IMPORTANTE: Mediana calculada APENAS com dados de TREINAMENTO</t>
        </is>
      </c>
    </row>
    <row r="19">
      <c r="A19" t="inlineStr">
        <is>
          <t>Fórmula: =MED(B2;B3;B4;B6;B7;B11;B12;B15)</t>
        </is>
      </c>
    </row>
    <row r="20">
      <c r="A20" t="inlineStr">
        <is>
          <t>Valores: 2200, 2800, 3200, 5200, 6100, 11000, 13500, 21000</t>
        </is>
      </c>
    </row>
    <row r="21">
      <c r="A21" s="1" t="inlineStr">
        <is>
          <t>Mediana = (5200 + 6100) / 2 = 5650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Faixa de Idades</t>
        </is>
      </c>
      <c r="B1" s="1" t="inlineStr">
        <is>
          <t>Faixa de Log de Renda</t>
        </is>
      </c>
      <c r="C1" s="1" t="inlineStr">
        <is>
          <t>Faixa de tiket medio</t>
        </is>
      </c>
      <c r="D1" s="1" t="inlineStr">
        <is>
          <t>Classe</t>
        </is>
      </c>
      <c r="E1" s="1" t="inlineStr">
        <is>
          <t>Particao</t>
        </is>
      </c>
    </row>
    <row r="2">
      <c r="A2">
        <f>SE('Dados Tratados'!A2&lt;=30;"Até 30";SE('Dados Tratados'!A2&lt;=50;"31-50";"Acima de 50"))</f>
        <v/>
      </c>
      <c r="B2">
        <f>SE(LN('Dados Tratados'!B2)&lt;8,5;"Baixa";SE(LN('Dados Tratados'!B2)&lt;9,5;"Media";"Alta"))</f>
        <v/>
      </c>
      <c r="C2">
        <f>SE('Dados Tratados'!F2&lt;=140;"Baixo";SE('Dados Tratados'!F2&lt;=155;"Medio";"Alto"))</f>
        <v/>
      </c>
      <c r="D2">
        <f>'Dados Tratados'!E2</f>
        <v/>
      </c>
      <c r="E2">
        <f>'Dados Tratados'!G2</f>
        <v/>
      </c>
    </row>
    <row r="3">
      <c r="A3">
        <f>SE('Dados Tratados'!A3&lt;=30;"Até 30";SE('Dados Tratados'!A3&lt;=50;"31-50";"Acima de 50"))</f>
        <v/>
      </c>
      <c r="B3">
        <f>SE(LN('Dados Tratados'!B3)&lt;8,5;"Baixa";SE(LN('Dados Tratados'!B3)&lt;9,5;"Media";"Alta"))</f>
        <v/>
      </c>
      <c r="C3">
        <f>SE('Dados Tratados'!F3&lt;=140;"Baixo";SE('Dados Tratados'!F3&lt;=155;"Medio";"Alto"))</f>
        <v/>
      </c>
      <c r="D3">
        <f>'Dados Tratados'!E3</f>
        <v/>
      </c>
      <c r="E3">
        <f>'Dados Tratados'!G3</f>
        <v/>
      </c>
    </row>
    <row r="4">
      <c r="A4">
        <f>SE('Dados Tratados'!A4&lt;=30;"Até 30";SE('Dados Tratados'!A4&lt;=50;"31-50";"Acima de 50"))</f>
        <v/>
      </c>
      <c r="B4">
        <f>SE(LN('Dados Tratados'!B4)&lt;8,5;"Baixa";SE(LN('Dados Tratados'!B4)&lt;9,5;"Media";"Alta"))</f>
        <v/>
      </c>
      <c r="C4">
        <f>SE('Dados Tratados'!F4&lt;=140;"Baixo";SE('Dados Tratados'!F4&lt;=155;"Medio";"Alto"))</f>
        <v/>
      </c>
      <c r="D4">
        <f>'Dados Tratados'!E4</f>
        <v/>
      </c>
      <c r="E4">
        <f>'Dados Tratados'!G4</f>
        <v/>
      </c>
    </row>
    <row r="5">
      <c r="A5">
        <f>SE('Dados Tratados'!A5&lt;=30;"Até 30";SE('Dados Tratados'!A5&lt;=50;"31-50";"Acima de 50"))</f>
        <v/>
      </c>
      <c r="B5">
        <f>SE(LN('Dados Tratados'!B5)&lt;8,5;"Baixa";SE(LN('Dados Tratados'!B5)&lt;9,5;"Media";"Alta"))</f>
        <v/>
      </c>
      <c r="C5">
        <f>SE('Dados Tratados'!F5&lt;=140;"Baixo";SE('Dados Tratados'!F5&lt;=155;"Medio";"Alto"))</f>
        <v/>
      </c>
      <c r="D5">
        <f>'Dados Tratados'!E5</f>
        <v/>
      </c>
      <c r="E5">
        <f>'Dados Tratados'!G5</f>
        <v/>
      </c>
    </row>
    <row r="6">
      <c r="A6">
        <f>SE('Dados Tratados'!A6&lt;=30;"Até 30";SE('Dados Tratados'!A6&lt;=50;"31-50";"Acima de 50"))</f>
        <v/>
      </c>
      <c r="B6">
        <f>SE(LN('Dados Tratados'!B6)&lt;8,5;"Baixa";SE(LN('Dados Tratados'!B6)&lt;9,5;"Media";"Alta"))</f>
        <v/>
      </c>
      <c r="C6">
        <f>SE('Dados Tratados'!F6&lt;=140;"Baixo";SE('Dados Tratados'!F6&lt;=155;"Medio";"Alto"))</f>
        <v/>
      </c>
      <c r="D6">
        <f>'Dados Tratados'!E6</f>
        <v/>
      </c>
      <c r="E6">
        <f>'Dados Tratados'!G6</f>
        <v/>
      </c>
    </row>
    <row r="7">
      <c r="A7">
        <f>SE('Dados Tratados'!A7&lt;=30;"Até 30";SE('Dados Tratados'!A7&lt;=50;"31-50";"Acima de 50"))</f>
        <v/>
      </c>
      <c r="B7">
        <f>SE(LN('Dados Tratados'!B7)&lt;8,5;"Baixa";SE(LN('Dados Tratados'!B7)&lt;9,5;"Media";"Alta"))</f>
        <v/>
      </c>
      <c r="C7">
        <f>SE('Dados Tratados'!F7&lt;=140;"Baixo";SE('Dados Tratados'!F7&lt;=155;"Medio";"Alto"))</f>
        <v/>
      </c>
      <c r="D7">
        <f>'Dados Tratados'!E7</f>
        <v/>
      </c>
      <c r="E7">
        <f>'Dados Tratados'!G7</f>
        <v/>
      </c>
    </row>
    <row r="8">
      <c r="A8">
        <f>SE('Dados Tratados'!A8&lt;=30;"Até 30";SE('Dados Tratados'!A8&lt;=50;"31-50";"Acima de 50"))</f>
        <v/>
      </c>
      <c r="B8">
        <f>SE(LN('Dados Tratados'!B8)&lt;8,5;"Baixa";SE(LN('Dados Tratados'!B8)&lt;9,5;"Media";"Alta"))</f>
        <v/>
      </c>
      <c r="C8">
        <f>SE('Dados Tratados'!F8&lt;=140;"Baixo";SE('Dados Tratados'!F8&lt;=155;"Medio";"Alto"))</f>
        <v/>
      </c>
      <c r="D8">
        <f>'Dados Tratados'!E8</f>
        <v/>
      </c>
      <c r="E8">
        <f>'Dados Tratados'!G8</f>
        <v/>
      </c>
    </row>
    <row r="9">
      <c r="A9">
        <f>SE('Dados Tratados'!A9&lt;=30;"Até 30";SE('Dados Tratados'!A9&lt;=50;"31-50";"Acima de 50"))</f>
        <v/>
      </c>
      <c r="B9">
        <f>SE(LN('Dados Tratados'!B9)&lt;8,5;"Baixa";SE(LN('Dados Tratados'!B9)&lt;9,5;"Media";"Alta"))</f>
        <v/>
      </c>
      <c r="C9">
        <f>SE('Dados Tratados'!F9&lt;=140;"Baixo";SE('Dados Tratados'!F9&lt;=155;"Medio";"Alto"))</f>
        <v/>
      </c>
      <c r="D9">
        <f>'Dados Tratados'!E9</f>
        <v/>
      </c>
      <c r="E9">
        <f>'Dados Tratados'!G9</f>
        <v/>
      </c>
    </row>
    <row r="10">
      <c r="A10">
        <f>SE('Dados Tratados'!A10&lt;=30;"Até 30";SE('Dados Tratados'!A10&lt;=50;"31-50";"Acima de 50"))</f>
        <v/>
      </c>
      <c r="B10">
        <f>SE(LN('Dados Tratados'!B10)&lt;8,5;"Baixa";SE(LN('Dados Tratados'!B10)&lt;9,5;"Media";"Alta"))</f>
        <v/>
      </c>
      <c r="C10">
        <f>SE('Dados Tratados'!F10&lt;=140;"Baixo";SE('Dados Tratados'!F10&lt;=155;"Medio";"Alto"))</f>
        <v/>
      </c>
      <c r="D10">
        <f>'Dados Tratados'!E10</f>
        <v/>
      </c>
      <c r="E10">
        <f>'Dados Tratados'!G10</f>
        <v/>
      </c>
    </row>
    <row r="11">
      <c r="A11">
        <f>SE('Dados Tratados'!A11&lt;=30;"Até 30";SE('Dados Tratados'!A11&lt;=50;"31-50";"Acima de 50"))</f>
        <v/>
      </c>
      <c r="B11">
        <f>SE(LN('Dados Tratados'!B11)&lt;8,5;"Baixa";SE(LN('Dados Tratados'!B11)&lt;9,5;"Media";"Alta"))</f>
        <v/>
      </c>
      <c r="C11">
        <f>SE('Dados Tratados'!F11&lt;=140;"Baixo";SE('Dados Tratados'!F11&lt;=155;"Medio";"Alto"))</f>
        <v/>
      </c>
      <c r="D11">
        <f>'Dados Tratados'!E11</f>
        <v/>
      </c>
      <c r="E11">
        <f>'Dados Tratados'!G11</f>
        <v/>
      </c>
    </row>
    <row r="12">
      <c r="A12">
        <f>SE('Dados Tratados'!A12&lt;=30;"Até 30";SE('Dados Tratados'!A12&lt;=50;"31-50";"Acima de 50"))</f>
        <v/>
      </c>
      <c r="B12">
        <f>SE(LN('Dados Tratados'!B12)&lt;8,5;"Baixa";SE(LN('Dados Tratados'!B12)&lt;9,5;"Media";"Alta"))</f>
        <v/>
      </c>
      <c r="C12">
        <f>SE('Dados Tratados'!F12&lt;=140;"Baixo";SE('Dados Tratados'!F12&lt;=155;"Medio";"Alto"))</f>
        <v/>
      </c>
      <c r="D12">
        <f>'Dados Tratados'!E12</f>
        <v/>
      </c>
      <c r="E12">
        <f>'Dados Tratados'!G12</f>
        <v/>
      </c>
    </row>
    <row r="13">
      <c r="A13">
        <f>SE('Dados Tratados'!A13&lt;=30;"Até 30";SE('Dados Tratados'!A13&lt;=50;"31-50";"Acima de 50"))</f>
        <v/>
      </c>
      <c r="B13">
        <f>SE(LN('Dados Tratados'!B13)&lt;8,5;"Baixa";SE(LN('Dados Tratados'!B13)&lt;9,5;"Media";"Alta"))</f>
        <v/>
      </c>
      <c r="C13">
        <f>SE('Dados Tratados'!F13&lt;=140;"Baixo";SE('Dados Tratados'!F13&lt;=155;"Medio";"Alto"))</f>
        <v/>
      </c>
      <c r="D13">
        <f>'Dados Tratados'!E13</f>
        <v/>
      </c>
      <c r="E13">
        <f>'Dados Tratados'!G13</f>
        <v/>
      </c>
    </row>
    <row r="14">
      <c r="A14">
        <f>SE('Dados Tratados'!A14&lt;=30;"Até 30";SE('Dados Tratados'!A14&lt;=50;"31-50";"Acima de 50"))</f>
        <v/>
      </c>
      <c r="B14">
        <f>SE(LN('Dados Tratados'!B14)&lt;8,5;"Baixa";SE(LN('Dados Tratados'!B14)&lt;9,5;"Media";"Alta"))</f>
        <v/>
      </c>
      <c r="C14">
        <f>SE('Dados Tratados'!F14&lt;=140;"Baixo";SE('Dados Tratados'!F14&lt;=155;"Medio";"Alto"))</f>
        <v/>
      </c>
      <c r="D14">
        <f>'Dados Tratados'!E14</f>
        <v/>
      </c>
      <c r="E14">
        <f>'Dados Tratados'!G14</f>
        <v/>
      </c>
    </row>
    <row r="15">
      <c r="A15">
        <f>SE('Dados Tratados'!A15&lt;=30;"Até 30";SE('Dados Tratados'!A15&lt;=50;"31-50";"Acima de 50"))</f>
        <v/>
      </c>
      <c r="B15">
        <f>SE(LN('Dados Tratados'!B15)&lt;8,5;"Baixa";SE(LN('Dados Tratados'!B15)&lt;9,5;"Media";"Alta"))</f>
        <v/>
      </c>
      <c r="C15">
        <f>SE('Dados Tratados'!F15&lt;=140;"Baixo";SE('Dados Tratados'!F15&lt;=155;"Medio";"Alto"))</f>
        <v/>
      </c>
      <c r="D15">
        <f>'Dados Tratados'!E15</f>
        <v/>
      </c>
      <c r="E15">
        <f>'Dados Tratados'!G15</f>
        <v/>
      </c>
    </row>
    <row r="16">
      <c r="A16">
        <f>SE('Dados Tratados'!A16&lt;=30;"Até 30";SE('Dados Tratados'!A16&lt;=50;"31-50";"Acima de 50"))</f>
        <v/>
      </c>
      <c r="B16">
        <f>SE(LN('Dados Tratados'!B16)&lt;8,5;"Baixa";SE(LN('Dados Tratados'!B16)&lt;9,5;"Media";"Alta"))</f>
        <v/>
      </c>
      <c r="C16">
        <f>SE('Dados Tratados'!F16&lt;=140;"Baixo";SE('Dados Tratados'!F16&lt;=155;"Medio";"Alto"))</f>
        <v/>
      </c>
      <c r="D16">
        <f>'Dados Tratados'!E16</f>
        <v/>
      </c>
      <c r="E16">
        <f>'Dados Tratados'!G16</f>
        <v/>
      </c>
    </row>
    <row r="18">
      <c r="A18" s="1">
        <f>== FAIXAS DO PROFESSOR ===</f>
        <v/>
      </c>
    </row>
    <row r="20">
      <c r="A20" s="1" t="inlineStr">
        <is>
          <t>FAIXA DE IDADES:</t>
        </is>
      </c>
    </row>
    <row r="21">
      <c r="A21">
        <f>SE(Idade&lt;=30;"Até 30";SE(Idade&lt;=50;"31-50";"Acima de 50"))</f>
        <v/>
      </c>
    </row>
    <row r="23">
      <c r="A23" s="1" t="inlineStr">
        <is>
          <t>FAIXA DE LOG DE RENDA:</t>
        </is>
      </c>
    </row>
    <row r="24">
      <c r="A24">
        <f>SE(LN(Renda)&lt;8,5;"Baixa";SE(LN(Renda)&lt;9,5;"Media";"Alta"))</f>
        <v/>
      </c>
    </row>
    <row r="25">
      <c r="A25" t="inlineStr">
        <is>
          <t>Baixa: LN &lt; 8,5 (Renda &lt; ~4.900)</t>
        </is>
      </c>
    </row>
    <row r="26">
      <c r="A26" t="inlineStr">
        <is>
          <t>Media: 8,5 &lt;= LN &lt; 9,5 (Renda ~4.900 - ~13.400)</t>
        </is>
      </c>
    </row>
    <row r="27">
      <c r="A27" t="inlineStr">
        <is>
          <t>Alta: LN &gt;= 9,5 (Renda &gt; ~13.400)</t>
        </is>
      </c>
    </row>
    <row r="29">
      <c r="A29" s="1" t="inlineStr">
        <is>
          <t>FAIXA DE TIKET MEDIO:</t>
        </is>
      </c>
    </row>
    <row r="30">
      <c r="A30">
        <f>SE(Tiket&lt;=140;"Baixo";SE(Tiket&lt;=155;"Medio";"Alto"))</f>
        <v/>
      </c>
    </row>
    <row r="31">
      <c r="A31" t="inlineStr">
        <is>
          <t>Baixo: &lt;= 140</t>
        </is>
      </c>
    </row>
    <row r="32">
      <c r="A32" t="inlineStr">
        <is>
          <t>Medio: 141-155</t>
        </is>
      </c>
    </row>
    <row r="33">
      <c r="A33" t="inlineStr">
        <is>
          <t>Alto: &gt; 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2026-09-26T18:53:19Z</dcterms:created>
  <dcterms:modified xmlns:dcterms="http://purl.org/dc/terms/" xmlns:xsi="http://www.w3.org/2001/XMLSchema-instance" xsi:type="dcterms:W3CDTF">2026-09-26T19:32:11Z</dcterms:modified>
</cp:coreProperties>
</file>