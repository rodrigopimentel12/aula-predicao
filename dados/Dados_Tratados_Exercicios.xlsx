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 Originais" sheetId="1" state="visible" r:id="rId1"/>
    <sheet xmlns:r="http://schemas.openxmlformats.org/officeDocument/2006/relationships" name="Dados 1.1" sheetId="2" state="visible" r:id="rId2"/>
    <sheet xmlns:r="http://schemas.openxmlformats.org/officeDocument/2006/relationships" name="Dados 1.2 - Matriz" sheetId="3" state="visible" r:id="rId3"/>
    <sheet xmlns:r="http://schemas.openxmlformats.org/officeDocument/2006/relationships" name="Dados 1.2 - Pares" sheetId="4" state="visible" r:id="rId4"/>
    <sheet xmlns:r="http://schemas.openxmlformats.org/officeDocument/2006/relationships" name="Dados 1.2 - Instruções" sheetId="5" state="visible" r:id="rId5"/>
    <sheet xmlns:r="http://schemas.openxmlformats.org/officeDocument/2006/relationships" name="Dados 1.3" sheetId="6" state="visible" r:id="rId6"/>
    <sheet xmlns:r="http://schemas.openxmlformats.org/officeDocument/2006/relationships" name="Dados 1.4" sheetId="7" state="visible" r:id="rId7"/>
    <sheet xmlns:r="http://schemas.openxmlformats.org/officeDocument/2006/relationships" name="Dados 1.5" sheetId="8" state="visible" r:id="rId8"/>
    <sheet xmlns:r="http://schemas.openxmlformats.org/officeDocument/2006/relationships" name="Dados 1.6" sheetId="9" state="visible" r:id="rId9"/>
    <sheet xmlns:r="http://schemas.openxmlformats.org/officeDocument/2006/relationships" name="Dados 1.7" sheetId="10" state="visible" r:id="rId10"/>
    <sheet xmlns:r="http://schemas.openxmlformats.org/officeDocument/2006/relationships" name="Dados 1.8" sheetId="11" state="visible" r:id="rId11"/>
    <sheet xmlns:r="http://schemas.openxmlformats.org/officeDocument/2006/relationships" name="Dados 1.9" sheetId="12" state="visible" r:id="rId12"/>
    <sheet xmlns:r="http://schemas.openxmlformats.org/officeDocument/2006/relationships" name="Dados 1.9 - Variância" sheetId="13" state="visible" r:id="rId13"/>
    <sheet xmlns:r="http://schemas.openxmlformats.org/officeDocument/2006/relationships" name="Dados Tratad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Idade</t>
        </is>
      </c>
      <c r="B1" t="inlineStr">
        <is>
          <t>Renda_Mensal</t>
        </is>
      </c>
      <c r="C1" t="inlineStr">
        <is>
          <t>Estado_Civil</t>
        </is>
      </c>
      <c r="D1" t="inlineStr">
        <is>
          <t>Valor_Compras</t>
        </is>
      </c>
      <c r="E1" t="inlineStr">
        <is>
          <t>Numero_Compras</t>
        </is>
      </c>
      <c r="F1" t="inlineStr">
        <is>
          <t>Classe</t>
        </is>
      </c>
    </row>
    <row r="2">
      <c r="A2" t="n">
        <v>22</v>
      </c>
      <c r="B2" t="n">
        <v>2200</v>
      </c>
      <c r="C2" t="inlineStr">
        <is>
          <t>Casado</t>
        </is>
      </c>
      <c r="D2" t="n">
        <v>300</v>
      </c>
      <c r="E2" t="n">
        <v>2</v>
      </c>
      <c r="F2" t="n">
        <v>0</v>
      </c>
    </row>
    <row r="3">
      <c r="A3" t="n">
        <v>27</v>
      </c>
      <c r="B3" t="n">
        <v>2800</v>
      </c>
      <c r="C3" t="inlineStr">
        <is>
          <t>Casado</t>
        </is>
      </c>
      <c r="D3" t="n">
        <v>450</v>
      </c>
      <c r="E3" t="n">
        <v>3</v>
      </c>
      <c r="F3" t="n">
        <v>0</v>
      </c>
    </row>
    <row r="4">
      <c r="A4" t="n">
        <v>31</v>
      </c>
      <c r="B4" t="n">
        <v>3200</v>
      </c>
      <c r="C4" t="inlineStr">
        <is>
          <t>Casado</t>
        </is>
      </c>
      <c r="D4" t="n">
        <v>520</v>
      </c>
      <c r="E4" t="n">
        <v>4</v>
      </c>
      <c r="F4" t="n">
        <v>0</v>
      </c>
    </row>
    <row r="5">
      <c r="A5" t="n">
        <v>35</v>
      </c>
      <c r="B5" t="n">
        <v>4500</v>
      </c>
      <c r="C5" t="inlineStr">
        <is>
          <t>Casado</t>
        </is>
      </c>
      <c r="D5" t="n">
        <v>700</v>
      </c>
      <c r="E5" t="n">
        <v>5</v>
      </c>
      <c r="F5" t="n">
        <v>0</v>
      </c>
    </row>
    <row r="6">
      <c r="A6" t="n">
        <v>39</v>
      </c>
      <c r="B6" t="n">
        <v>5200</v>
      </c>
      <c r="C6" t="inlineStr">
        <is>
          <t>Casado</t>
        </is>
      </c>
      <c r="D6" t="n">
        <v>850</v>
      </c>
      <c r="E6" t="n">
        <v>6</v>
      </c>
      <c r="F6" t="n">
        <v>0</v>
      </c>
    </row>
    <row r="7">
      <c r="A7" t="n">
        <v>42</v>
      </c>
      <c r="B7" t="n">
        <v>6100</v>
      </c>
      <c r="C7" t="inlineStr">
        <is>
          <t>Casado</t>
        </is>
      </c>
      <c r="D7" t="n">
        <v>1100</v>
      </c>
      <c r="E7" t="n">
        <v>8</v>
      </c>
      <c r="F7" t="n">
        <v>0</v>
      </c>
    </row>
    <row r="8">
      <c r="A8" t="n">
        <v>46</v>
      </c>
      <c r="B8" t="n">
        <v>7500</v>
      </c>
      <c r="C8" t="inlineStr">
        <is>
          <t>Casado</t>
        </is>
      </c>
      <c r="D8" t="n">
        <v>1250</v>
      </c>
      <c r="E8" t="n">
        <v>9</v>
      </c>
      <c r="F8" t="n">
        <v>0</v>
      </c>
    </row>
    <row r="9">
      <c r="A9" t="n">
        <v>49</v>
      </c>
      <c r="B9" t="inlineStr"/>
      <c r="C9" t="inlineStr">
        <is>
          <t>Solteiro</t>
        </is>
      </c>
      <c r="D9" t="n">
        <v>1400</v>
      </c>
      <c r="E9" t="n">
        <v>10</v>
      </c>
      <c r="F9" t="n">
        <v>1</v>
      </c>
    </row>
    <row r="10">
      <c r="A10" t="n">
        <v>52</v>
      </c>
      <c r="B10" t="n">
        <v>9800</v>
      </c>
      <c r="C10" t="inlineStr">
        <is>
          <t>Casado</t>
        </is>
      </c>
      <c r="D10" t="n">
        <v>1700</v>
      </c>
      <c r="E10" t="n">
        <v>12</v>
      </c>
      <c r="F10" t="n">
        <v>1</v>
      </c>
    </row>
    <row r="11">
      <c r="A11" t="n">
        <v>55</v>
      </c>
      <c r="B11" t="n">
        <v>11000</v>
      </c>
      <c r="C11" t="inlineStr">
        <is>
          <t>Casado</t>
        </is>
      </c>
      <c r="D11" t="n">
        <v>2100</v>
      </c>
      <c r="E11" t="n">
        <v>14</v>
      </c>
      <c r="F11" t="n">
        <v>1</v>
      </c>
    </row>
    <row r="12">
      <c r="A12" t="n">
        <v>58</v>
      </c>
      <c r="B12" t="n">
        <v>13500</v>
      </c>
      <c r="C12" t="inlineStr">
        <is>
          <t>Casado</t>
        </is>
      </c>
      <c r="D12" t="n">
        <v>2500</v>
      </c>
      <c r="E12" t="n">
        <v>16</v>
      </c>
      <c r="F12" t="n">
        <v>1</v>
      </c>
    </row>
    <row r="13">
      <c r="A13" t="n">
        <v>61</v>
      </c>
      <c r="B13" t="n">
        <v>15000</v>
      </c>
      <c r="C13" t="inlineStr">
        <is>
          <t>Casado</t>
        </is>
      </c>
      <c r="D13" t="n">
        <v>2900</v>
      </c>
      <c r="E13" t="n">
        <v>18</v>
      </c>
      <c r="F13" t="n">
        <v>1</v>
      </c>
    </row>
    <row r="14">
      <c r="A14" t="n">
        <v>64</v>
      </c>
      <c r="B14" t="inlineStr"/>
      <c r="C14" t="inlineStr">
        <is>
          <t>Casado</t>
        </is>
      </c>
      <c r="D14" t="n">
        <v>3200</v>
      </c>
      <c r="E14" t="n">
        <v>20</v>
      </c>
      <c r="F14" t="n">
        <v>1</v>
      </c>
    </row>
    <row r="15">
      <c r="A15" t="n">
        <v>68</v>
      </c>
      <c r="B15" t="n">
        <v>21000</v>
      </c>
      <c r="C15" t="inlineStr">
        <is>
          <t>Casado</t>
        </is>
      </c>
      <c r="D15" t="n">
        <v>3800</v>
      </c>
      <c r="E15" t="n">
        <v>24</v>
      </c>
      <c r="F15" t="n">
        <v>1</v>
      </c>
    </row>
    <row r="16">
      <c r="A16" t="n">
        <v>72</v>
      </c>
      <c r="B16" t="n">
        <v>30000</v>
      </c>
      <c r="C16" t="inlineStr">
        <is>
          <t>Casado</t>
        </is>
      </c>
      <c r="D16" t="n">
        <v>4500</v>
      </c>
      <c r="E16" t="n">
        <v>30</v>
      </c>
      <c r="F1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Variável</t>
        </is>
      </c>
      <c r="B1" t="inlineStr">
        <is>
          <t>Tipo</t>
        </is>
      </c>
      <c r="C1" t="inlineStr">
        <is>
          <t>Valores_Únicos</t>
        </is>
      </c>
      <c r="D1" t="inlineStr">
        <is>
          <t>Valores_Ausentes</t>
        </is>
      </c>
      <c r="E1" t="inlineStr">
        <is>
          <t>Relevância</t>
        </is>
      </c>
    </row>
    <row r="2">
      <c r="A2" t="inlineStr">
        <is>
          <t>Idade</t>
        </is>
      </c>
      <c r="B2" t="inlineStr">
        <is>
          <t>int64</t>
        </is>
      </c>
      <c r="C2" t="n">
        <v>15</v>
      </c>
      <c r="D2" t="n">
        <v>0</v>
      </c>
      <c r="E2" t="inlineStr">
        <is>
          <t>Alta</t>
        </is>
      </c>
    </row>
    <row r="3">
      <c r="A3" t="inlineStr">
        <is>
          <t>Renda_Mensal</t>
        </is>
      </c>
      <c r="B3" t="inlineStr">
        <is>
          <t>float64</t>
        </is>
      </c>
      <c r="C3" t="n">
        <v>13</v>
      </c>
      <c r="D3" t="n">
        <v>2</v>
      </c>
      <c r="E3" t="inlineStr">
        <is>
          <t>Alta</t>
        </is>
      </c>
    </row>
    <row r="4">
      <c r="A4" t="inlineStr">
        <is>
          <t>Estado_Civil</t>
        </is>
      </c>
      <c r="B4" t="inlineStr">
        <is>
          <t>str</t>
        </is>
      </c>
      <c r="C4" t="n">
        <v>2</v>
      </c>
      <c r="D4" t="n">
        <v>0</v>
      </c>
      <c r="E4" t="inlineStr">
        <is>
          <t>Baixa</t>
        </is>
      </c>
    </row>
    <row r="5">
      <c r="A5" t="inlineStr">
        <is>
          <t>Valor_Compras</t>
        </is>
      </c>
      <c r="B5" t="inlineStr">
        <is>
          <t>int64</t>
        </is>
      </c>
      <c r="C5" t="n">
        <v>15</v>
      </c>
      <c r="D5" t="n">
        <v>0</v>
      </c>
      <c r="E5" t="inlineStr">
        <is>
          <t>Alta</t>
        </is>
      </c>
    </row>
    <row r="6">
      <c r="A6" t="inlineStr">
        <is>
          <t>Numero_Compras</t>
        </is>
      </c>
      <c r="B6" t="inlineStr">
        <is>
          <t>int64</t>
        </is>
      </c>
      <c r="C6" t="n">
        <v>15</v>
      </c>
      <c r="D6" t="n">
        <v>0</v>
      </c>
      <c r="E6" t="inlineStr">
        <is>
          <t>Alta</t>
        </is>
      </c>
    </row>
    <row r="7">
      <c r="A7" t="inlineStr">
        <is>
          <t>Classe</t>
        </is>
      </c>
      <c r="B7" t="inlineStr">
        <is>
          <t>int64</t>
        </is>
      </c>
      <c r="C7" t="n">
        <v>2</v>
      </c>
      <c r="D7" t="n">
        <v>0</v>
      </c>
      <c r="E7" t="inlineStr">
        <is>
          <t>Target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B1" t="inlineStr">
        <is>
          <t>Idade</t>
        </is>
      </c>
      <c r="C1" t="inlineStr">
        <is>
          <t>Renda_Mensal</t>
        </is>
      </c>
      <c r="D1" t="inlineStr">
        <is>
          <t>Valor_Compras</t>
        </is>
      </c>
      <c r="E1" t="inlineStr">
        <is>
          <t>Numero_Compras</t>
        </is>
      </c>
      <c r="F1" t="inlineStr">
        <is>
          <t>Classe</t>
        </is>
      </c>
    </row>
    <row r="2">
      <c r="A2" t="inlineStr">
        <is>
          <t>Idade</t>
        </is>
      </c>
      <c r="B2" t="n">
        <v>1</v>
      </c>
      <c r="C2" t="n">
        <v>0.9236441531786034</v>
      </c>
      <c r="D2" t="n">
        <v>0.95784472642316</v>
      </c>
      <c r="E2" t="n">
        <v>0.9614036569850214</v>
      </c>
      <c r="F2" t="n">
        <v>0.8559060711105299</v>
      </c>
    </row>
    <row r="3">
      <c r="A3" t="inlineStr">
        <is>
          <t>Renda_Mensal</t>
        </is>
      </c>
      <c r="B3" t="n">
        <v>0.9236441531786034</v>
      </c>
      <c r="C3" t="n">
        <v>1</v>
      </c>
      <c r="D3" t="n">
        <v>0.985962924699803</v>
      </c>
      <c r="E3" t="n">
        <v>0.9909631119823999</v>
      </c>
      <c r="F3" t="n">
        <v>0.7799168694916894</v>
      </c>
    </row>
    <row r="4">
      <c r="A4" t="inlineStr">
        <is>
          <t>Valor_Compras</t>
        </is>
      </c>
      <c r="B4" t="n">
        <v>0.95784472642316</v>
      </c>
      <c r="C4" t="n">
        <v>0.985962924699803</v>
      </c>
      <c r="D4" t="n">
        <v>1</v>
      </c>
      <c r="E4" t="n">
        <v>0.9975519657562333</v>
      </c>
      <c r="F4" t="n">
        <v>0.8012410770800146</v>
      </c>
    </row>
    <row r="5">
      <c r="A5" t="inlineStr">
        <is>
          <t>Numero_Compras</t>
        </is>
      </c>
      <c r="B5" t="n">
        <v>0.9614036569850214</v>
      </c>
      <c r="C5" t="n">
        <v>0.9909631119823999</v>
      </c>
      <c r="D5" t="n">
        <v>0.9975519657562333</v>
      </c>
      <c r="E5" t="n">
        <v>1</v>
      </c>
      <c r="F5" t="n">
        <v>0.7983266886874699</v>
      </c>
    </row>
    <row r="6">
      <c r="A6" t="inlineStr">
        <is>
          <t>Classe</t>
        </is>
      </c>
      <c r="B6" t="n">
        <v>0.8559060711105299</v>
      </c>
      <c r="C6" t="n">
        <v>0.7799168694916894</v>
      </c>
      <c r="D6" t="n">
        <v>0.8012410770800146</v>
      </c>
      <c r="E6" t="n">
        <v>0.7983266886874699</v>
      </c>
      <c r="F6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Variável_X</t>
        </is>
      </c>
      <c r="B1" t="inlineStr">
        <is>
          <t>Variável_Y</t>
        </is>
      </c>
      <c r="C1" t="inlineStr">
        <is>
          <t>Correlação</t>
        </is>
      </c>
      <c r="D1" t="inlineStr">
        <is>
          <t>Fórmula_Excel</t>
        </is>
      </c>
      <c r="E1" t="inlineStr">
        <is>
          <t>Interpretação</t>
        </is>
      </c>
    </row>
    <row r="2">
      <c r="A2" t="inlineStr">
        <is>
          <t>Idade</t>
        </is>
      </c>
      <c r="B2" t="inlineStr">
        <is>
          <t>Renda_Mensal</t>
        </is>
      </c>
      <c r="C2" t="n">
        <v>0.9236</v>
      </c>
      <c r="D2">
        <f>CORREL(Idade; Renda_Mensal)</f>
        <v/>
      </c>
      <c r="E2" t="inlineStr">
        <is>
          <t>Muito Forte</t>
        </is>
      </c>
    </row>
    <row r="3">
      <c r="A3" t="inlineStr">
        <is>
          <t>Idade</t>
        </is>
      </c>
      <c r="B3" t="inlineStr">
        <is>
          <t>Valor_Compras</t>
        </is>
      </c>
      <c r="C3" t="n">
        <v>0.9578</v>
      </c>
      <c r="D3">
        <f>CORREL(Idade; Valor_Compras)</f>
        <v/>
      </c>
      <c r="E3" t="inlineStr">
        <is>
          <t>Muito Forte</t>
        </is>
      </c>
    </row>
    <row r="4">
      <c r="A4" t="inlineStr">
        <is>
          <t>Idade</t>
        </is>
      </c>
      <c r="B4" t="inlineStr">
        <is>
          <t>Numero_Compras</t>
        </is>
      </c>
      <c r="C4" t="n">
        <v>0.9614</v>
      </c>
      <c r="D4">
        <f>CORREL(Idade; Numero_Compras)</f>
        <v/>
      </c>
      <c r="E4" t="inlineStr">
        <is>
          <t>Muito Forte</t>
        </is>
      </c>
    </row>
    <row r="5">
      <c r="A5" t="inlineStr">
        <is>
          <t>Renda_Mensal</t>
        </is>
      </c>
      <c r="B5" t="inlineStr">
        <is>
          <t>Valor_Compras</t>
        </is>
      </c>
      <c r="C5" t="n">
        <v>0.986</v>
      </c>
      <c r="D5">
        <f>CORREL(Renda_Mensal; Valor_Compras)</f>
        <v/>
      </c>
      <c r="E5" t="inlineStr">
        <is>
          <t>Muito Forte</t>
        </is>
      </c>
    </row>
    <row r="6">
      <c r="A6" t="inlineStr">
        <is>
          <t>Renda_Mensal</t>
        </is>
      </c>
      <c r="B6" t="inlineStr">
        <is>
          <t>Numero_Compras</t>
        </is>
      </c>
      <c r="C6" t="n">
        <v>0.991</v>
      </c>
      <c r="D6">
        <f>CORREL(Renda_Mensal; Numero_Compras)</f>
        <v/>
      </c>
      <c r="E6" t="inlineStr">
        <is>
          <t>Muito Forte</t>
        </is>
      </c>
    </row>
    <row r="7">
      <c r="A7" t="inlineStr">
        <is>
          <t>Valor_Compras</t>
        </is>
      </c>
      <c r="B7" t="inlineStr">
        <is>
          <t>Numero_Compras</t>
        </is>
      </c>
      <c r="C7" t="n">
        <v>0.9976</v>
      </c>
      <c r="D7">
        <f>CORREL(Valor_Compras; Numero_Compras)</f>
        <v/>
      </c>
      <c r="E7" t="inlineStr">
        <is>
          <t>Muito Forte</t>
        </is>
      </c>
    </row>
    <row r="8">
      <c r="A8" t="inlineStr">
        <is>
          <t>Idade</t>
        </is>
      </c>
      <c r="B8" t="inlineStr">
        <is>
          <t>Classe</t>
        </is>
      </c>
      <c r="C8" t="n">
        <v>0.8559</v>
      </c>
      <c r="D8">
        <f>CORREL(Idade; Classe)</f>
        <v/>
      </c>
      <c r="E8" t="inlineStr">
        <is>
          <t>Forte</t>
        </is>
      </c>
    </row>
    <row r="9">
      <c r="A9" t="inlineStr">
        <is>
          <t>Renda_Mensal</t>
        </is>
      </c>
      <c r="B9" t="inlineStr">
        <is>
          <t>Classe</t>
        </is>
      </c>
      <c r="C9" t="n">
        <v>0.7799</v>
      </c>
      <c r="D9">
        <f>CORREL(Renda_Mensal; Classe)</f>
        <v/>
      </c>
      <c r="E9" t="inlineStr">
        <is>
          <t>Forte</t>
        </is>
      </c>
    </row>
    <row r="10">
      <c r="A10" t="inlineStr">
        <is>
          <t>Valor_Compras</t>
        </is>
      </c>
      <c r="B10" t="inlineStr">
        <is>
          <t>Classe</t>
        </is>
      </c>
      <c r="C10" t="n">
        <v>0.8012</v>
      </c>
      <c r="D10">
        <f>CORREL(Valor_Compras; Classe)</f>
        <v/>
      </c>
      <c r="E10" t="inlineStr">
        <is>
          <t>Forte</t>
        </is>
      </c>
    </row>
    <row r="11">
      <c r="A11" t="inlineStr">
        <is>
          <t>Numero_Compras</t>
        </is>
      </c>
      <c r="B11" t="inlineStr">
        <is>
          <t>Classe</t>
        </is>
      </c>
      <c r="C11" t="n">
        <v>0.7983</v>
      </c>
      <c r="D11">
        <f>CORREL(Numero_Compras; Classe)</f>
        <v/>
      </c>
      <c r="E11" t="inlineStr">
        <is>
          <t>Forte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Instruções para verificar no Excel</t>
        </is>
      </c>
    </row>
    <row r="2">
      <c r="A2" t="inlineStr">
        <is>
          <t>Para calcular correlação no Excel, use:</t>
        </is>
      </c>
    </row>
    <row r="3">
      <c r="A3">
        <f>CORREL(A2:A16; B2:B16)</f>
        <v/>
      </c>
    </row>
    <row r="4">
      <c r="A4" t="inlineStr"/>
    </row>
    <row r="5">
      <c r="A5" t="inlineStr">
        <is>
          <t>Onde:</t>
        </is>
      </c>
    </row>
    <row r="6">
      <c r="A6" t="inlineStr">
        <is>
          <t>A2:A16 = intervalo da primeira variável</t>
        </is>
      </c>
    </row>
    <row r="7">
      <c r="A7" t="inlineStr">
        <is>
          <t>B2:B16 = intervalo da segunda variável</t>
        </is>
      </c>
    </row>
    <row r="8">
      <c r="A8" t="inlineStr"/>
    </row>
    <row r="9">
      <c r="A9" t="inlineStr">
        <is>
          <t>Exemplo com os dados originais:</t>
        </is>
      </c>
    </row>
    <row r="10">
      <c r="A10">
        <f>CORREL(A2:A16; D2:D16) para Idade vs Valor_Compras</f>
        <v/>
      </c>
    </row>
    <row r="11">
      <c r="A11" t="inlineStr"/>
    </row>
    <row r="12">
      <c r="A12" t="inlineStr">
        <is>
          <t>Interpretação:</t>
        </is>
      </c>
    </row>
    <row r="13">
      <c r="A13" t="inlineStr">
        <is>
          <t>&gt; 0.9 = Correlação Muito Forte</t>
        </is>
      </c>
    </row>
    <row r="14">
      <c r="A14" t="inlineStr">
        <is>
          <t>&gt; 0.7 = Correlação Forte</t>
        </is>
      </c>
    </row>
    <row r="15">
      <c r="A15" t="inlineStr">
        <is>
          <t>&gt; 0.5 = Correlação Moderada</t>
        </is>
      </c>
    </row>
    <row r="16">
      <c r="A16" t="inlineStr">
        <is>
          <t>&lt; 0.5 = Correlação Fraca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Idade</t>
        </is>
      </c>
      <c r="B1" t="inlineStr">
        <is>
          <t>Renda_Mensal</t>
        </is>
      </c>
      <c r="C1" t="inlineStr">
        <is>
          <t>Estado_Civil</t>
        </is>
      </c>
      <c r="D1" t="inlineStr">
        <is>
          <t>Valor_Compras</t>
        </is>
      </c>
      <c r="E1" t="inlineStr">
        <is>
          <t>Numero_Compras</t>
        </is>
      </c>
      <c r="F1" t="inlineStr">
        <is>
          <t>Classe</t>
        </is>
      </c>
      <c r="G1" t="inlineStr">
        <is>
          <t>Ticket_Medio</t>
        </is>
      </c>
      <c r="H1" t="inlineStr">
        <is>
          <t>Pct_Renda_Compras</t>
        </is>
      </c>
    </row>
    <row r="2">
      <c r="A2" t="n">
        <v>22</v>
      </c>
      <c r="B2" t="n">
        <v>2200</v>
      </c>
      <c r="C2" t="inlineStr">
        <is>
          <t>Casado</t>
        </is>
      </c>
      <c r="D2" t="n">
        <v>300</v>
      </c>
      <c r="E2" t="n">
        <v>2</v>
      </c>
      <c r="F2" t="n">
        <v>0</v>
      </c>
      <c r="G2" t="n">
        <v>150</v>
      </c>
      <c r="H2" t="n">
        <v>13.63636363636363</v>
      </c>
    </row>
    <row r="3">
      <c r="A3" t="n">
        <v>27</v>
      </c>
      <c r="B3" t="n">
        <v>2800</v>
      </c>
      <c r="C3" t="inlineStr">
        <is>
          <t>Casado</t>
        </is>
      </c>
      <c r="D3" t="n">
        <v>450</v>
      </c>
      <c r="E3" t="n">
        <v>3</v>
      </c>
      <c r="F3" t="n">
        <v>0</v>
      </c>
      <c r="G3" t="n">
        <v>150</v>
      </c>
      <c r="H3" t="n">
        <v>16.07142857142857</v>
      </c>
    </row>
    <row r="4">
      <c r="A4" t="n">
        <v>31</v>
      </c>
      <c r="B4" t="n">
        <v>3200</v>
      </c>
      <c r="C4" t="inlineStr">
        <is>
          <t>Casado</t>
        </is>
      </c>
      <c r="D4" t="n">
        <v>520</v>
      </c>
      <c r="E4" t="n">
        <v>4</v>
      </c>
      <c r="F4" t="n">
        <v>0</v>
      </c>
      <c r="G4" t="n">
        <v>130</v>
      </c>
      <c r="H4" t="n">
        <v>16.25</v>
      </c>
    </row>
    <row r="5">
      <c r="A5" t="n">
        <v>35</v>
      </c>
      <c r="B5" t="n">
        <v>4500</v>
      </c>
      <c r="C5" t="inlineStr">
        <is>
          <t>Casado</t>
        </is>
      </c>
      <c r="D5" t="n">
        <v>700</v>
      </c>
      <c r="E5" t="n">
        <v>5</v>
      </c>
      <c r="F5" t="n">
        <v>0</v>
      </c>
      <c r="G5" t="n">
        <v>140</v>
      </c>
      <c r="H5" t="n">
        <v>15.55555555555556</v>
      </c>
    </row>
    <row r="6">
      <c r="A6" t="n">
        <v>39</v>
      </c>
      <c r="B6" t="n">
        <v>5200</v>
      </c>
      <c r="C6" t="inlineStr">
        <is>
          <t>Casado</t>
        </is>
      </c>
      <c r="D6" t="n">
        <v>850</v>
      </c>
      <c r="E6" t="n">
        <v>6</v>
      </c>
      <c r="F6" t="n">
        <v>0</v>
      </c>
      <c r="G6" t="n">
        <v>141.6666666666667</v>
      </c>
      <c r="H6" t="n">
        <v>16.34615384615385</v>
      </c>
    </row>
    <row r="7">
      <c r="A7" t="n">
        <v>42</v>
      </c>
      <c r="B7" t="n">
        <v>6100</v>
      </c>
      <c r="C7" t="inlineStr">
        <is>
          <t>Casado</t>
        </is>
      </c>
      <c r="D7" t="n">
        <v>1100</v>
      </c>
      <c r="E7" t="n">
        <v>8</v>
      </c>
      <c r="F7" t="n">
        <v>0</v>
      </c>
      <c r="G7" t="n">
        <v>137.5</v>
      </c>
      <c r="H7" t="n">
        <v>18.0327868852459</v>
      </c>
    </row>
    <row r="8">
      <c r="A8" t="n">
        <v>46</v>
      </c>
      <c r="B8" t="n">
        <v>7500</v>
      </c>
      <c r="C8" t="inlineStr">
        <is>
          <t>Casado</t>
        </is>
      </c>
      <c r="D8" t="n">
        <v>1250</v>
      </c>
      <c r="E8" t="n">
        <v>9</v>
      </c>
      <c r="F8" t="n">
        <v>0</v>
      </c>
      <c r="G8" t="n">
        <v>138.8888888888889</v>
      </c>
      <c r="H8" t="n">
        <v>16.66666666666666</v>
      </c>
    </row>
    <row r="9">
      <c r="A9" t="n">
        <v>49</v>
      </c>
      <c r="B9" t="inlineStr"/>
      <c r="C9" t="inlineStr">
        <is>
          <t>Solteiro</t>
        </is>
      </c>
      <c r="D9" t="n">
        <v>1400</v>
      </c>
      <c r="E9" t="n">
        <v>10</v>
      </c>
      <c r="F9" t="n">
        <v>1</v>
      </c>
      <c r="G9" t="n">
        <v>140</v>
      </c>
      <c r="H9" t="inlineStr"/>
    </row>
    <row r="10">
      <c r="A10" t="n">
        <v>52</v>
      </c>
      <c r="B10" t="n">
        <v>9800</v>
      </c>
      <c r="C10" t="inlineStr">
        <is>
          <t>Casado</t>
        </is>
      </c>
      <c r="D10" t="n">
        <v>1700</v>
      </c>
      <c r="E10" t="n">
        <v>12</v>
      </c>
      <c r="F10" t="n">
        <v>1</v>
      </c>
      <c r="G10" t="n">
        <v>141.6666666666667</v>
      </c>
      <c r="H10" t="n">
        <v>17.3469387755102</v>
      </c>
    </row>
    <row r="11">
      <c r="A11" t="n">
        <v>55</v>
      </c>
      <c r="B11" t="n">
        <v>11000</v>
      </c>
      <c r="C11" t="inlineStr">
        <is>
          <t>Casado</t>
        </is>
      </c>
      <c r="D11" t="n">
        <v>2100</v>
      </c>
      <c r="E11" t="n">
        <v>14</v>
      </c>
      <c r="F11" t="n">
        <v>1</v>
      </c>
      <c r="G11" t="n">
        <v>150</v>
      </c>
      <c r="H11" t="n">
        <v>19.09090909090909</v>
      </c>
    </row>
    <row r="12">
      <c r="A12" t="n">
        <v>58</v>
      </c>
      <c r="B12" t="n">
        <v>13500</v>
      </c>
      <c r="C12" t="inlineStr">
        <is>
          <t>Casado</t>
        </is>
      </c>
      <c r="D12" t="n">
        <v>2500</v>
      </c>
      <c r="E12" t="n">
        <v>16</v>
      </c>
      <c r="F12" t="n">
        <v>1</v>
      </c>
      <c r="G12" t="n">
        <v>156.25</v>
      </c>
      <c r="H12" t="n">
        <v>18.51851851851852</v>
      </c>
    </row>
    <row r="13">
      <c r="A13" t="n">
        <v>61</v>
      </c>
      <c r="B13" t="n">
        <v>15000</v>
      </c>
      <c r="C13" t="inlineStr">
        <is>
          <t>Casado</t>
        </is>
      </c>
      <c r="D13" t="n">
        <v>2900</v>
      </c>
      <c r="E13" t="n">
        <v>18</v>
      </c>
      <c r="F13" t="n">
        <v>1</v>
      </c>
      <c r="G13" t="n">
        <v>161.1111111111111</v>
      </c>
      <c r="H13" t="n">
        <v>19.33333333333333</v>
      </c>
    </row>
    <row r="14">
      <c r="A14" t="n">
        <v>64</v>
      </c>
      <c r="B14" t="inlineStr"/>
      <c r="C14" t="inlineStr">
        <is>
          <t>Casado</t>
        </is>
      </c>
      <c r="D14" t="n">
        <v>3200</v>
      </c>
      <c r="E14" t="n">
        <v>20</v>
      </c>
      <c r="F14" t="n">
        <v>1</v>
      </c>
      <c r="G14" t="n">
        <v>160</v>
      </c>
      <c r="H14" t="inlineStr"/>
    </row>
    <row r="15">
      <c r="A15" t="n">
        <v>68</v>
      </c>
      <c r="B15" t="n">
        <v>21000</v>
      </c>
      <c r="C15" t="inlineStr">
        <is>
          <t>Casado</t>
        </is>
      </c>
      <c r="D15" t="n">
        <v>3800</v>
      </c>
      <c r="E15" t="n">
        <v>24</v>
      </c>
      <c r="F15" t="n">
        <v>1</v>
      </c>
      <c r="G15" t="n">
        <v>158.3333333333333</v>
      </c>
      <c r="H15" t="n">
        <v>18.09523809523809</v>
      </c>
    </row>
    <row r="16">
      <c r="A16" t="n">
        <v>72</v>
      </c>
      <c r="B16" t="n">
        <v>30000</v>
      </c>
      <c r="C16" t="inlineStr">
        <is>
          <t>Casado</t>
        </is>
      </c>
      <c r="D16" t="n">
        <v>4500</v>
      </c>
      <c r="E16" t="n">
        <v>30</v>
      </c>
      <c r="F16" t="n">
        <v>1</v>
      </c>
      <c r="G16" t="n">
        <v>150</v>
      </c>
      <c r="H16" t="n">
        <v>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Idade</t>
        </is>
      </c>
      <c r="B1" t="inlineStr">
        <is>
          <t>Renda_Mensal</t>
        </is>
      </c>
      <c r="C1" t="inlineStr">
        <is>
          <t>Valor_Compras</t>
        </is>
      </c>
      <c r="D1" t="inlineStr">
        <is>
          <t>Numero_Compras</t>
        </is>
      </c>
      <c r="E1" t="inlineStr">
        <is>
          <t>Classe</t>
        </is>
      </c>
    </row>
    <row r="2">
      <c r="A2" t="n">
        <v>22</v>
      </c>
      <c r="B2" t="n">
        <v>2200</v>
      </c>
      <c r="C2" t="n">
        <v>300</v>
      </c>
      <c r="D2" t="n">
        <v>2</v>
      </c>
      <c r="E2" t="n">
        <v>0</v>
      </c>
    </row>
    <row r="3">
      <c r="A3" t="n">
        <v>27</v>
      </c>
      <c r="B3" t="n">
        <v>2800</v>
      </c>
      <c r="C3" t="n">
        <v>450</v>
      </c>
      <c r="D3" t="n">
        <v>3</v>
      </c>
      <c r="E3" t="n">
        <v>0</v>
      </c>
    </row>
    <row r="4">
      <c r="A4" t="n">
        <v>31</v>
      </c>
      <c r="B4" t="n">
        <v>3200</v>
      </c>
      <c r="C4" t="n">
        <v>520</v>
      </c>
      <c r="D4" t="n">
        <v>4</v>
      </c>
      <c r="E4" t="n">
        <v>0</v>
      </c>
    </row>
    <row r="5">
      <c r="A5" t="n">
        <v>35</v>
      </c>
      <c r="B5" t="n">
        <v>4500</v>
      </c>
      <c r="C5" t="n">
        <v>700</v>
      </c>
      <c r="D5" t="n">
        <v>5</v>
      </c>
      <c r="E5" t="n">
        <v>0</v>
      </c>
    </row>
    <row r="6">
      <c r="A6" t="n">
        <v>39</v>
      </c>
      <c r="B6" t="n">
        <v>5200</v>
      </c>
      <c r="C6" t="n">
        <v>850</v>
      </c>
      <c r="D6" t="n">
        <v>6</v>
      </c>
      <c r="E6" t="n">
        <v>0</v>
      </c>
    </row>
    <row r="7">
      <c r="A7" t="n">
        <v>42</v>
      </c>
      <c r="B7" t="n">
        <v>6100</v>
      </c>
      <c r="C7" t="n">
        <v>1100</v>
      </c>
      <c r="D7" t="n">
        <v>8</v>
      </c>
      <c r="E7" t="n">
        <v>0</v>
      </c>
    </row>
    <row r="8">
      <c r="A8" t="n">
        <v>46</v>
      </c>
      <c r="B8" t="n">
        <v>7500</v>
      </c>
      <c r="C8" t="n">
        <v>1250</v>
      </c>
      <c r="D8" t="n">
        <v>9</v>
      </c>
      <c r="E8" t="n">
        <v>0</v>
      </c>
    </row>
    <row r="9">
      <c r="A9" t="n">
        <v>49</v>
      </c>
      <c r="B9" t="inlineStr"/>
      <c r="C9" t="n">
        <v>1400</v>
      </c>
      <c r="D9" t="n">
        <v>10</v>
      </c>
      <c r="E9" t="n">
        <v>1</v>
      </c>
    </row>
    <row r="10">
      <c r="A10" t="n">
        <v>52</v>
      </c>
      <c r="B10" t="n">
        <v>9800</v>
      </c>
      <c r="C10" t="n">
        <v>1700</v>
      </c>
      <c r="D10" t="n">
        <v>12</v>
      </c>
      <c r="E10" t="n">
        <v>1</v>
      </c>
    </row>
    <row r="11">
      <c r="A11" t="n">
        <v>55</v>
      </c>
      <c r="B11" t="n">
        <v>11000</v>
      </c>
      <c r="C11" t="n">
        <v>2100</v>
      </c>
      <c r="D11" t="n">
        <v>14</v>
      </c>
      <c r="E11" t="n">
        <v>1</v>
      </c>
    </row>
    <row r="12">
      <c r="A12" t="n">
        <v>58</v>
      </c>
      <c r="B12" t="n">
        <v>13500</v>
      </c>
      <c r="C12" t="n">
        <v>2500</v>
      </c>
      <c r="D12" t="n">
        <v>16</v>
      </c>
      <c r="E12" t="n">
        <v>1</v>
      </c>
    </row>
    <row r="13">
      <c r="A13" t="n">
        <v>61</v>
      </c>
      <c r="B13" t="n">
        <v>15000</v>
      </c>
      <c r="C13" t="n">
        <v>2900</v>
      </c>
      <c r="D13" t="n">
        <v>18</v>
      </c>
      <c r="E13" t="n">
        <v>1</v>
      </c>
    </row>
    <row r="14">
      <c r="A14" t="n">
        <v>64</v>
      </c>
      <c r="B14" t="inlineStr"/>
      <c r="C14" t="n">
        <v>3200</v>
      </c>
      <c r="D14" t="n">
        <v>20</v>
      </c>
      <c r="E14" t="n">
        <v>1</v>
      </c>
    </row>
    <row r="15">
      <c r="A15" t="n">
        <v>68</v>
      </c>
      <c r="B15" t="n">
        <v>21000</v>
      </c>
      <c r="C15" t="n">
        <v>3800</v>
      </c>
      <c r="D15" t="n">
        <v>24</v>
      </c>
      <c r="E15" t="n">
        <v>1</v>
      </c>
    </row>
    <row r="16">
      <c r="A16" t="n">
        <v>72</v>
      </c>
      <c r="B16" t="n">
        <v>30000</v>
      </c>
      <c r="C16" t="n">
        <v>4500</v>
      </c>
      <c r="D16" t="n">
        <v>30</v>
      </c>
      <c r="E16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Idade</t>
        </is>
      </c>
      <c r="B1" t="inlineStr">
        <is>
          <t>Renda_Mensal</t>
        </is>
      </c>
      <c r="C1" t="inlineStr">
        <is>
          <t>Valor_Compras</t>
        </is>
      </c>
      <c r="D1" t="inlineStr">
        <is>
          <t>Numero_Compras</t>
        </is>
      </c>
      <c r="E1" t="inlineStr">
        <is>
          <t>Classe</t>
        </is>
      </c>
      <c r="F1" t="inlineStr">
        <is>
          <t>Imputado</t>
        </is>
      </c>
    </row>
    <row r="2">
      <c r="A2" t="n">
        <v>22</v>
      </c>
      <c r="B2" t="n">
        <v>2200</v>
      </c>
      <c r="C2" t="n">
        <v>300</v>
      </c>
      <c r="D2" t="n">
        <v>2</v>
      </c>
      <c r="E2" t="n">
        <v>0</v>
      </c>
      <c r="F2" t="inlineStr">
        <is>
          <t>Não</t>
        </is>
      </c>
    </row>
    <row r="3">
      <c r="A3" t="n">
        <v>27</v>
      </c>
      <c r="B3" t="n">
        <v>2800</v>
      </c>
      <c r="C3" t="n">
        <v>450</v>
      </c>
      <c r="D3" t="n">
        <v>3</v>
      </c>
      <c r="E3" t="n">
        <v>0</v>
      </c>
      <c r="F3" t="inlineStr">
        <is>
          <t>Não</t>
        </is>
      </c>
    </row>
    <row r="4">
      <c r="A4" t="n">
        <v>31</v>
      </c>
      <c r="B4" t="n">
        <v>3200</v>
      </c>
      <c r="C4" t="n">
        <v>520</v>
      </c>
      <c r="D4" t="n">
        <v>4</v>
      </c>
      <c r="E4" t="n">
        <v>0</v>
      </c>
      <c r="F4" t="inlineStr">
        <is>
          <t>Não</t>
        </is>
      </c>
    </row>
    <row r="5">
      <c r="A5" t="n">
        <v>35</v>
      </c>
      <c r="B5" t="n">
        <v>4500</v>
      </c>
      <c r="C5" t="n">
        <v>700</v>
      </c>
      <c r="D5" t="n">
        <v>5</v>
      </c>
      <c r="E5" t="n">
        <v>0</v>
      </c>
      <c r="F5" t="inlineStr">
        <is>
          <t>Não</t>
        </is>
      </c>
    </row>
    <row r="6">
      <c r="A6" t="n">
        <v>39</v>
      </c>
      <c r="B6" t="n">
        <v>5200</v>
      </c>
      <c r="C6" t="n">
        <v>850</v>
      </c>
      <c r="D6" t="n">
        <v>6</v>
      </c>
      <c r="E6" t="n">
        <v>0</v>
      </c>
      <c r="F6" t="inlineStr">
        <is>
          <t>Não</t>
        </is>
      </c>
    </row>
    <row r="7">
      <c r="A7" t="n">
        <v>42</v>
      </c>
      <c r="B7" t="n">
        <v>6100</v>
      </c>
      <c r="C7" t="n">
        <v>1100</v>
      </c>
      <c r="D7" t="n">
        <v>8</v>
      </c>
      <c r="E7" t="n">
        <v>0</v>
      </c>
      <c r="F7" t="inlineStr">
        <is>
          <t>Não</t>
        </is>
      </c>
    </row>
    <row r="8">
      <c r="A8" t="n">
        <v>46</v>
      </c>
      <c r="B8" t="n">
        <v>7500</v>
      </c>
      <c r="C8" t="n">
        <v>1250</v>
      </c>
      <c r="D8" t="n">
        <v>9</v>
      </c>
      <c r="E8" t="n">
        <v>0</v>
      </c>
      <c r="F8" t="inlineStr">
        <is>
          <t>Não</t>
        </is>
      </c>
    </row>
    <row r="9">
      <c r="A9" t="n">
        <v>49</v>
      </c>
      <c r="B9" t="n">
        <v>7500</v>
      </c>
      <c r="C9" t="n">
        <v>1400</v>
      </c>
      <c r="D9" t="n">
        <v>10</v>
      </c>
      <c r="E9" t="n">
        <v>1</v>
      </c>
      <c r="F9" t="inlineStr">
        <is>
          <t>Sim</t>
        </is>
      </c>
    </row>
    <row r="10">
      <c r="A10" t="n">
        <v>52</v>
      </c>
      <c r="B10" t="n">
        <v>9800</v>
      </c>
      <c r="C10" t="n">
        <v>1700</v>
      </c>
      <c r="D10" t="n">
        <v>12</v>
      </c>
      <c r="E10" t="n">
        <v>1</v>
      </c>
      <c r="F10" t="inlineStr">
        <is>
          <t>Não</t>
        </is>
      </c>
    </row>
    <row r="11">
      <c r="A11" t="n">
        <v>55</v>
      </c>
      <c r="B11" t="n">
        <v>11000</v>
      </c>
      <c r="C11" t="n">
        <v>2100</v>
      </c>
      <c r="D11" t="n">
        <v>14</v>
      </c>
      <c r="E11" t="n">
        <v>1</v>
      </c>
      <c r="F11" t="inlineStr">
        <is>
          <t>Não</t>
        </is>
      </c>
    </row>
    <row r="12">
      <c r="A12" t="n">
        <v>58</v>
      </c>
      <c r="B12" t="n">
        <v>13500</v>
      </c>
      <c r="C12" t="n">
        <v>2500</v>
      </c>
      <c r="D12" t="n">
        <v>16</v>
      </c>
      <c r="E12" t="n">
        <v>1</v>
      </c>
      <c r="F12" t="inlineStr">
        <is>
          <t>Não</t>
        </is>
      </c>
    </row>
    <row r="13">
      <c r="A13" t="n">
        <v>61</v>
      </c>
      <c r="B13" t="n">
        <v>15000</v>
      </c>
      <c r="C13" t="n">
        <v>2900</v>
      </c>
      <c r="D13" t="n">
        <v>18</v>
      </c>
      <c r="E13" t="n">
        <v>1</v>
      </c>
      <c r="F13" t="inlineStr">
        <is>
          <t>Não</t>
        </is>
      </c>
    </row>
    <row r="14">
      <c r="A14" t="n">
        <v>64</v>
      </c>
      <c r="B14" t="n">
        <v>7500</v>
      </c>
      <c r="C14" t="n">
        <v>3200</v>
      </c>
      <c r="D14" t="n">
        <v>20</v>
      </c>
      <c r="E14" t="n">
        <v>1</v>
      </c>
      <c r="F14" t="inlineStr">
        <is>
          <t>Sim</t>
        </is>
      </c>
    </row>
    <row r="15">
      <c r="A15" t="n">
        <v>68</v>
      </c>
      <c r="B15" t="n">
        <v>21000</v>
      </c>
      <c r="C15" t="n">
        <v>3800</v>
      </c>
      <c r="D15" t="n">
        <v>24</v>
      </c>
      <c r="E15" t="n">
        <v>1</v>
      </c>
      <c r="F15" t="inlineStr">
        <is>
          <t>Não</t>
        </is>
      </c>
    </row>
    <row r="16">
      <c r="A16" t="n">
        <v>72</v>
      </c>
      <c r="B16" t="n">
        <v>30000</v>
      </c>
      <c r="C16" t="n">
        <v>4500</v>
      </c>
      <c r="D16" t="n">
        <v>30</v>
      </c>
      <c r="E16" t="n">
        <v>1</v>
      </c>
      <c r="F16" t="inlineStr">
        <is>
          <t>Não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Idade</t>
        </is>
      </c>
      <c r="B1" t="inlineStr">
        <is>
          <t>Renda_Mensal</t>
        </is>
      </c>
      <c r="C1" t="inlineStr">
        <is>
          <t>Valor_Compras</t>
        </is>
      </c>
      <c r="D1" t="inlineStr">
        <is>
          <t>Numero_Compras</t>
        </is>
      </c>
      <c r="E1" t="inlineStr">
        <is>
          <t>Classe</t>
        </is>
      </c>
      <c r="F1" t="inlineStr">
        <is>
          <t>Log_Renda</t>
        </is>
      </c>
      <c r="G1" t="inlineStr">
        <is>
          <t>Faixa_Idade</t>
        </is>
      </c>
      <c r="H1" t="inlineStr">
        <is>
          <t>Faixa_Renda</t>
        </is>
      </c>
    </row>
    <row r="2">
      <c r="A2" t="n">
        <v>22</v>
      </c>
      <c r="B2" t="n">
        <v>2200</v>
      </c>
      <c r="C2" t="n">
        <v>300</v>
      </c>
      <c r="D2" t="n">
        <v>2</v>
      </c>
      <c r="E2" t="n">
        <v>0</v>
      </c>
      <c r="F2" t="n">
        <v>7.696212639346407</v>
      </c>
      <c r="G2" t="inlineStr">
        <is>
          <t>Jovem</t>
        </is>
      </c>
      <c r="H2" t="inlineStr">
        <is>
          <t>Baixa</t>
        </is>
      </c>
    </row>
    <row r="3">
      <c r="A3" t="n">
        <v>27</v>
      </c>
      <c r="B3" t="n">
        <v>2800</v>
      </c>
      <c r="C3" t="n">
        <v>450</v>
      </c>
      <c r="D3" t="n">
        <v>3</v>
      </c>
      <c r="E3" t="n">
        <v>0</v>
      </c>
      <c r="F3" t="n">
        <v>7.937374696163295</v>
      </c>
      <c r="G3" t="inlineStr">
        <is>
          <t>Jovem</t>
        </is>
      </c>
      <c r="H3" t="inlineStr">
        <is>
          <t>Baixa</t>
        </is>
      </c>
    </row>
    <row r="4">
      <c r="A4" t="n">
        <v>31</v>
      </c>
      <c r="B4" t="n">
        <v>3200</v>
      </c>
      <c r="C4" t="n">
        <v>520</v>
      </c>
      <c r="D4" t="n">
        <v>4</v>
      </c>
      <c r="E4" t="n">
        <v>0</v>
      </c>
      <c r="F4" t="n">
        <v>8.070906088787819</v>
      </c>
      <c r="G4" t="inlineStr">
        <is>
          <t>Jovem</t>
        </is>
      </c>
      <c r="H4" t="inlineStr">
        <is>
          <t>Baixa</t>
        </is>
      </c>
    </row>
    <row r="5">
      <c r="A5" t="n">
        <v>35</v>
      </c>
      <c r="B5" t="n">
        <v>4500</v>
      </c>
      <c r="C5" t="n">
        <v>700</v>
      </c>
      <c r="D5" t="n">
        <v>5</v>
      </c>
      <c r="E5" t="n">
        <v>0</v>
      </c>
      <c r="F5" t="n">
        <v>8.411832675758411</v>
      </c>
      <c r="G5" t="inlineStr">
        <is>
          <t>Jovem</t>
        </is>
      </c>
      <c r="H5" t="inlineStr">
        <is>
          <t>Media</t>
        </is>
      </c>
    </row>
    <row r="6">
      <c r="A6" t="n">
        <v>39</v>
      </c>
      <c r="B6" t="n">
        <v>5200</v>
      </c>
      <c r="C6" t="n">
        <v>850</v>
      </c>
      <c r="D6" t="n">
        <v>6</v>
      </c>
      <c r="E6" t="n">
        <v>0</v>
      </c>
      <c r="F6" t="n">
        <v>8.556413904569519</v>
      </c>
      <c r="G6" t="inlineStr">
        <is>
          <t>Adulto</t>
        </is>
      </c>
      <c r="H6" t="inlineStr">
        <is>
          <t>Media</t>
        </is>
      </c>
    </row>
    <row r="7">
      <c r="A7" t="n">
        <v>42</v>
      </c>
      <c r="B7" t="n">
        <v>6100</v>
      </c>
      <c r="C7" t="n">
        <v>1100</v>
      </c>
      <c r="D7" t="n">
        <v>8</v>
      </c>
      <c r="E7" t="n">
        <v>0</v>
      </c>
      <c r="F7" t="n">
        <v>8.716044050161402</v>
      </c>
      <c r="G7" t="inlineStr">
        <is>
          <t>Adulto</t>
        </is>
      </c>
      <c r="H7" t="inlineStr">
        <is>
          <t>Media</t>
        </is>
      </c>
    </row>
    <row r="8">
      <c r="A8" t="n">
        <v>46</v>
      </c>
      <c r="B8" t="n">
        <v>7500</v>
      </c>
      <c r="C8" t="n">
        <v>1250</v>
      </c>
      <c r="D8" t="n">
        <v>9</v>
      </c>
      <c r="E8" t="n">
        <v>0</v>
      </c>
      <c r="F8" t="n">
        <v>8.922658299524402</v>
      </c>
      <c r="G8" t="inlineStr">
        <is>
          <t>Adulto</t>
        </is>
      </c>
      <c r="H8" t="inlineStr">
        <is>
          <t>Media</t>
        </is>
      </c>
    </row>
    <row r="9">
      <c r="A9" t="n">
        <v>49</v>
      </c>
      <c r="B9" t="n">
        <v>7500</v>
      </c>
      <c r="C9" t="n">
        <v>1400</v>
      </c>
      <c r="D9" t="n">
        <v>10</v>
      </c>
      <c r="E9" t="n">
        <v>1</v>
      </c>
      <c r="F9" t="n">
        <v>8.922658299524402</v>
      </c>
      <c r="G9" t="inlineStr">
        <is>
          <t>Adulto</t>
        </is>
      </c>
      <c r="H9" t="inlineStr">
        <is>
          <t>Media</t>
        </is>
      </c>
    </row>
    <row r="10">
      <c r="A10" t="n">
        <v>52</v>
      </c>
      <c r="B10" t="n">
        <v>9800</v>
      </c>
      <c r="C10" t="n">
        <v>1700</v>
      </c>
      <c r="D10" t="n">
        <v>12</v>
      </c>
      <c r="E10" t="n">
        <v>1</v>
      </c>
      <c r="F10" t="n">
        <v>9.190137664658664</v>
      </c>
      <c r="G10" t="inlineStr">
        <is>
          <t>Maduro</t>
        </is>
      </c>
      <c r="H10" t="inlineStr">
        <is>
          <t>Alta</t>
        </is>
      </c>
    </row>
    <row r="11">
      <c r="A11" t="n">
        <v>55</v>
      </c>
      <c r="B11" t="n">
        <v>11000</v>
      </c>
      <c r="C11" t="n">
        <v>2100</v>
      </c>
      <c r="D11" t="n">
        <v>14</v>
      </c>
      <c r="E11" t="n">
        <v>1</v>
      </c>
      <c r="F11" t="n">
        <v>9.305650551780507</v>
      </c>
      <c r="G11" t="inlineStr">
        <is>
          <t>Maduro</t>
        </is>
      </c>
      <c r="H11" t="inlineStr">
        <is>
          <t>Alta</t>
        </is>
      </c>
    </row>
    <row r="12">
      <c r="A12" t="n">
        <v>58</v>
      </c>
      <c r="B12" t="n">
        <v>13500</v>
      </c>
      <c r="C12" t="n">
        <v>2500</v>
      </c>
      <c r="D12" t="n">
        <v>16</v>
      </c>
      <c r="E12" t="n">
        <v>1</v>
      </c>
      <c r="F12" t="n">
        <v>9.510444964426521</v>
      </c>
      <c r="G12" t="inlineStr">
        <is>
          <t>Maduro</t>
        </is>
      </c>
      <c r="H12" t="inlineStr">
        <is>
          <t>Alta</t>
        </is>
      </c>
    </row>
    <row r="13">
      <c r="A13" t="n">
        <v>61</v>
      </c>
      <c r="B13" t="n">
        <v>15000</v>
      </c>
      <c r="C13" t="n">
        <v>2900</v>
      </c>
      <c r="D13" t="n">
        <v>18</v>
      </c>
      <c r="E13" t="n">
        <v>1</v>
      </c>
      <c r="F13" t="n">
        <v>9.615805480084347</v>
      </c>
      <c r="G13" t="inlineStr">
        <is>
          <t>Maduro</t>
        </is>
      </c>
      <c r="H13" t="inlineStr">
        <is>
          <t>Alta</t>
        </is>
      </c>
    </row>
    <row r="14">
      <c r="A14" t="n">
        <v>64</v>
      </c>
      <c r="B14" t="n">
        <v>7500</v>
      </c>
      <c r="C14" t="n">
        <v>3200</v>
      </c>
      <c r="D14" t="n">
        <v>20</v>
      </c>
      <c r="E14" t="n">
        <v>1</v>
      </c>
      <c r="F14" t="n">
        <v>8.922658299524402</v>
      </c>
      <c r="G14" t="inlineStr">
        <is>
          <t>Maduro</t>
        </is>
      </c>
      <c r="H14" t="inlineStr">
        <is>
          <t>Media</t>
        </is>
      </c>
    </row>
    <row r="15">
      <c r="A15" t="n">
        <v>68</v>
      </c>
      <c r="B15" t="n">
        <v>21000</v>
      </c>
      <c r="C15" t="n">
        <v>3800</v>
      </c>
      <c r="D15" t="n">
        <v>24</v>
      </c>
      <c r="E15" t="n">
        <v>1</v>
      </c>
      <c r="F15" t="n">
        <v>9.952277716705559</v>
      </c>
      <c r="G15" t="inlineStr">
        <is>
          <t>Senior</t>
        </is>
      </c>
      <c r="H15" t="inlineStr">
        <is>
          <t>Muito_Alta</t>
        </is>
      </c>
    </row>
    <row r="16">
      <c r="A16" t="n">
        <v>72</v>
      </c>
      <c r="B16" t="n">
        <v>30000</v>
      </c>
      <c r="C16" t="n">
        <v>4500</v>
      </c>
      <c r="D16" t="n">
        <v>30</v>
      </c>
      <c r="E16" t="n">
        <v>1</v>
      </c>
      <c r="F16" t="n">
        <v>10.30895266064429</v>
      </c>
      <c r="G16" t="inlineStr">
        <is>
          <t>Senior</t>
        </is>
      </c>
      <c r="H16" t="inlineStr">
        <is>
          <t>Muito_Alta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Idade</t>
        </is>
      </c>
      <c r="B1" t="inlineStr">
        <is>
          <t>Renda_Mensal</t>
        </is>
      </c>
      <c r="C1" t="inlineStr">
        <is>
          <t>Valor_Compras</t>
        </is>
      </c>
      <c r="D1" t="inlineStr">
        <is>
          <t>Numero_Compras</t>
        </is>
      </c>
      <c r="E1" t="inlineStr">
        <is>
          <t>Classe</t>
        </is>
      </c>
      <c r="F1" t="inlineStr">
        <is>
          <t>EC_Casado</t>
        </is>
      </c>
      <c r="G1" t="inlineStr">
        <is>
          <t>EC_Solteiro</t>
        </is>
      </c>
    </row>
    <row r="2">
      <c r="A2" t="n">
        <v>22</v>
      </c>
      <c r="B2" t="n">
        <v>2200</v>
      </c>
      <c r="C2" t="n">
        <v>300</v>
      </c>
      <c r="D2" t="n">
        <v>2</v>
      </c>
      <c r="E2" t="n">
        <v>0</v>
      </c>
      <c r="F2" t="b">
        <v>1</v>
      </c>
      <c r="G2" t="b">
        <v>0</v>
      </c>
    </row>
    <row r="3">
      <c r="A3" t="n">
        <v>27</v>
      </c>
      <c r="B3" t="n">
        <v>2800</v>
      </c>
      <c r="C3" t="n">
        <v>450</v>
      </c>
      <c r="D3" t="n">
        <v>3</v>
      </c>
      <c r="E3" t="n">
        <v>0</v>
      </c>
      <c r="F3" t="b">
        <v>1</v>
      </c>
      <c r="G3" t="b">
        <v>0</v>
      </c>
    </row>
    <row r="4">
      <c r="A4" t="n">
        <v>31</v>
      </c>
      <c r="B4" t="n">
        <v>3200</v>
      </c>
      <c r="C4" t="n">
        <v>520</v>
      </c>
      <c r="D4" t="n">
        <v>4</v>
      </c>
      <c r="E4" t="n">
        <v>0</v>
      </c>
      <c r="F4" t="b">
        <v>1</v>
      </c>
      <c r="G4" t="b">
        <v>0</v>
      </c>
    </row>
    <row r="5">
      <c r="A5" t="n">
        <v>35</v>
      </c>
      <c r="B5" t="n">
        <v>4500</v>
      </c>
      <c r="C5" t="n">
        <v>700</v>
      </c>
      <c r="D5" t="n">
        <v>5</v>
      </c>
      <c r="E5" t="n">
        <v>0</v>
      </c>
      <c r="F5" t="b">
        <v>1</v>
      </c>
      <c r="G5" t="b">
        <v>0</v>
      </c>
    </row>
    <row r="6">
      <c r="A6" t="n">
        <v>39</v>
      </c>
      <c r="B6" t="n">
        <v>5200</v>
      </c>
      <c r="C6" t="n">
        <v>850</v>
      </c>
      <c r="D6" t="n">
        <v>6</v>
      </c>
      <c r="E6" t="n">
        <v>0</v>
      </c>
      <c r="F6" t="b">
        <v>1</v>
      </c>
      <c r="G6" t="b">
        <v>0</v>
      </c>
    </row>
    <row r="7">
      <c r="A7" t="n">
        <v>42</v>
      </c>
      <c r="B7" t="n">
        <v>6100</v>
      </c>
      <c r="C7" t="n">
        <v>1100</v>
      </c>
      <c r="D7" t="n">
        <v>8</v>
      </c>
      <c r="E7" t="n">
        <v>0</v>
      </c>
      <c r="F7" t="b">
        <v>1</v>
      </c>
      <c r="G7" t="b">
        <v>0</v>
      </c>
    </row>
    <row r="8">
      <c r="A8" t="n">
        <v>46</v>
      </c>
      <c r="B8" t="n">
        <v>7500</v>
      </c>
      <c r="C8" t="n">
        <v>1250</v>
      </c>
      <c r="D8" t="n">
        <v>9</v>
      </c>
      <c r="E8" t="n">
        <v>0</v>
      </c>
      <c r="F8" t="b">
        <v>1</v>
      </c>
      <c r="G8" t="b">
        <v>0</v>
      </c>
    </row>
    <row r="9">
      <c r="A9" t="n">
        <v>49</v>
      </c>
      <c r="B9" t="inlineStr"/>
      <c r="C9" t="n">
        <v>1400</v>
      </c>
      <c r="D9" t="n">
        <v>10</v>
      </c>
      <c r="E9" t="n">
        <v>1</v>
      </c>
      <c r="F9" t="b">
        <v>0</v>
      </c>
      <c r="G9" t="b">
        <v>1</v>
      </c>
    </row>
    <row r="10">
      <c r="A10" t="n">
        <v>52</v>
      </c>
      <c r="B10" t="n">
        <v>9800</v>
      </c>
      <c r="C10" t="n">
        <v>1700</v>
      </c>
      <c r="D10" t="n">
        <v>12</v>
      </c>
      <c r="E10" t="n">
        <v>1</v>
      </c>
      <c r="F10" t="b">
        <v>1</v>
      </c>
      <c r="G10" t="b">
        <v>0</v>
      </c>
    </row>
    <row r="11">
      <c r="A11" t="n">
        <v>55</v>
      </c>
      <c r="B11" t="n">
        <v>11000</v>
      </c>
      <c r="C11" t="n">
        <v>2100</v>
      </c>
      <c r="D11" t="n">
        <v>14</v>
      </c>
      <c r="E11" t="n">
        <v>1</v>
      </c>
      <c r="F11" t="b">
        <v>1</v>
      </c>
      <c r="G11" t="b">
        <v>0</v>
      </c>
    </row>
    <row r="12">
      <c r="A12" t="n">
        <v>58</v>
      </c>
      <c r="B12" t="n">
        <v>13500</v>
      </c>
      <c r="C12" t="n">
        <v>2500</v>
      </c>
      <c r="D12" t="n">
        <v>16</v>
      </c>
      <c r="E12" t="n">
        <v>1</v>
      </c>
      <c r="F12" t="b">
        <v>1</v>
      </c>
      <c r="G12" t="b">
        <v>0</v>
      </c>
    </row>
    <row r="13">
      <c r="A13" t="n">
        <v>61</v>
      </c>
      <c r="B13" t="n">
        <v>15000</v>
      </c>
      <c r="C13" t="n">
        <v>2900</v>
      </c>
      <c r="D13" t="n">
        <v>18</v>
      </c>
      <c r="E13" t="n">
        <v>1</v>
      </c>
      <c r="F13" t="b">
        <v>1</v>
      </c>
      <c r="G13" t="b">
        <v>0</v>
      </c>
    </row>
    <row r="14">
      <c r="A14" t="n">
        <v>64</v>
      </c>
      <c r="B14" t="inlineStr"/>
      <c r="C14" t="n">
        <v>3200</v>
      </c>
      <c r="D14" t="n">
        <v>20</v>
      </c>
      <c r="E14" t="n">
        <v>1</v>
      </c>
      <c r="F14" t="b">
        <v>1</v>
      </c>
      <c r="G14" t="b">
        <v>0</v>
      </c>
    </row>
    <row r="15">
      <c r="A15" t="n">
        <v>68</v>
      </c>
      <c r="B15" t="n">
        <v>21000</v>
      </c>
      <c r="C15" t="n">
        <v>3800</v>
      </c>
      <c r="D15" t="n">
        <v>24</v>
      </c>
      <c r="E15" t="n">
        <v>1</v>
      </c>
      <c r="F15" t="b">
        <v>1</v>
      </c>
      <c r="G15" t="b">
        <v>0</v>
      </c>
    </row>
    <row r="16">
      <c r="A16" t="n">
        <v>72</v>
      </c>
      <c r="B16" t="n">
        <v>30000</v>
      </c>
      <c r="C16" t="n">
        <v>4500</v>
      </c>
      <c r="D16" t="n">
        <v>30</v>
      </c>
      <c r="E16" t="n">
        <v>1</v>
      </c>
      <c r="F16" t="b">
        <v>1</v>
      </c>
      <c r="G16" t="b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Variável</t>
        </is>
      </c>
      <c r="B1" t="inlineStr">
        <is>
          <t>Média_Classe_0</t>
        </is>
      </c>
      <c r="C1" t="inlineStr">
        <is>
          <t>Média_Classe_1</t>
        </is>
      </c>
      <c r="D1" t="inlineStr">
        <is>
          <t>F_Statistic</t>
        </is>
      </c>
      <c r="E1" t="inlineStr">
        <is>
          <t>P_Value</t>
        </is>
      </c>
      <c r="F1" t="inlineStr">
        <is>
          <t>Significativo</t>
        </is>
      </c>
    </row>
    <row r="2">
      <c r="A2" t="inlineStr">
        <is>
          <t>Idade</t>
        </is>
      </c>
      <c r="B2" t="n">
        <v>34.57</v>
      </c>
      <c r="C2" t="n">
        <v>59.88</v>
      </c>
      <c r="D2" t="n">
        <v>35.6118</v>
      </c>
      <c r="E2" t="n">
        <v>4.7e-05</v>
      </c>
      <c r="F2" t="inlineStr">
        <is>
          <t>Sim</t>
        </is>
      </c>
    </row>
    <row r="3">
      <c r="A3" t="inlineStr">
        <is>
          <t>Renda_Mensal</t>
        </is>
      </c>
      <c r="B3" t="n">
        <v>4500</v>
      </c>
      <c r="C3" t="n">
        <v>14412.5</v>
      </c>
      <c r="D3" t="n">
        <v>10.8889</v>
      </c>
      <c r="E3" t="n">
        <v>0.00575</v>
      </c>
      <c r="F3" t="inlineStr">
        <is>
          <t>Sim</t>
        </is>
      </c>
    </row>
    <row r="4">
      <c r="A4" t="inlineStr">
        <is>
          <t>Valor_Compras</t>
        </is>
      </c>
      <c r="B4" t="n">
        <v>738.5700000000001</v>
      </c>
      <c r="C4" t="n">
        <v>2762.5</v>
      </c>
      <c r="D4" t="n">
        <v>23.3116</v>
      </c>
      <c r="E4" t="n">
        <v>0.00033</v>
      </c>
      <c r="F4" t="inlineStr">
        <is>
          <t>Sim</t>
        </is>
      </c>
    </row>
    <row r="5">
      <c r="A5" t="inlineStr">
        <is>
          <t>Numero_Compras</t>
        </is>
      </c>
      <c r="B5" t="n">
        <v>5.29</v>
      </c>
      <c r="C5" t="n">
        <v>18</v>
      </c>
      <c r="D5" t="n">
        <v>22.8448</v>
      </c>
      <c r="E5" t="n">
        <v>0.00036</v>
      </c>
      <c r="F5" t="inlineStr">
        <is>
          <t>Sim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Idade</t>
        </is>
      </c>
      <c r="B1" t="inlineStr">
        <is>
          <t>Renda_Mensal</t>
        </is>
      </c>
      <c r="C1" t="inlineStr">
        <is>
          <t>Valor_Compras</t>
        </is>
      </c>
      <c r="D1" t="inlineStr">
        <is>
          <t>Numero_Compras</t>
        </is>
      </c>
      <c r="E1" t="inlineStr">
        <is>
          <t>Classe</t>
        </is>
      </c>
      <c r="F1" t="inlineStr">
        <is>
          <t>PC1</t>
        </is>
      </c>
      <c r="G1" t="inlineStr">
        <is>
          <t>PC2</t>
        </is>
      </c>
    </row>
    <row r="2">
      <c r="A2" t="n">
        <v>22</v>
      </c>
      <c r="B2" t="n">
        <v>2200</v>
      </c>
      <c r="C2" t="n">
        <v>300</v>
      </c>
      <c r="D2" t="n">
        <v>2</v>
      </c>
      <c r="E2" t="n">
        <v>0</v>
      </c>
      <c r="F2" t="n">
        <v>-2.637417193953826</v>
      </c>
      <c r="G2" t="n">
        <v>0.4346025964147514</v>
      </c>
    </row>
    <row r="3">
      <c r="A3" t="n">
        <v>27</v>
      </c>
      <c r="B3" t="n">
        <v>2800</v>
      </c>
      <c r="C3" t="n">
        <v>450</v>
      </c>
      <c r="D3" t="n">
        <v>3</v>
      </c>
      <c r="E3" t="n">
        <v>0</v>
      </c>
      <c r="F3" t="n">
        <v>-2.304957393348385</v>
      </c>
      <c r="G3" t="n">
        <v>0.2811702192335956</v>
      </c>
    </row>
    <row r="4">
      <c r="A4" t="n">
        <v>31</v>
      </c>
      <c r="B4" t="n">
        <v>3200</v>
      </c>
      <c r="C4" t="n">
        <v>520</v>
      </c>
      <c r="D4" t="n">
        <v>4</v>
      </c>
      <c r="E4" t="n">
        <v>0</v>
      </c>
      <c r="F4" t="n">
        <v>-2.051605081387693</v>
      </c>
      <c r="G4" t="n">
        <v>0.1530934413726104</v>
      </c>
    </row>
    <row r="5">
      <c r="A5" t="n">
        <v>35</v>
      </c>
      <c r="B5" t="n">
        <v>4500</v>
      </c>
      <c r="C5" t="n">
        <v>700</v>
      </c>
      <c r="D5" t="n">
        <v>5</v>
      </c>
      <c r="E5" t="n">
        <v>0</v>
      </c>
      <c r="F5" t="n">
        <v>-1.694292205197514</v>
      </c>
      <c r="G5" t="n">
        <v>0.1122001138223545</v>
      </c>
    </row>
    <row r="6">
      <c r="A6" t="n">
        <v>39</v>
      </c>
      <c r="B6" t="n">
        <v>5200</v>
      </c>
      <c r="C6" t="n">
        <v>850</v>
      </c>
      <c r="D6" t="n">
        <v>6</v>
      </c>
      <c r="E6" t="n">
        <v>0</v>
      </c>
      <c r="F6" t="n">
        <v>-1.388796700952167</v>
      </c>
      <c r="G6" t="n">
        <v>0.008531624239318792</v>
      </c>
    </row>
    <row r="7">
      <c r="A7" t="n">
        <v>42</v>
      </c>
      <c r="B7" t="n">
        <v>6100</v>
      </c>
      <c r="C7" t="n">
        <v>1100</v>
      </c>
      <c r="D7" t="n">
        <v>8</v>
      </c>
      <c r="E7" t="n">
        <v>0</v>
      </c>
      <c r="F7" t="n">
        <v>-0.9989894608366757</v>
      </c>
      <c r="G7" t="n">
        <v>-0.05461118699078554</v>
      </c>
    </row>
    <row r="8">
      <c r="A8" t="n">
        <v>46</v>
      </c>
      <c r="B8" t="n">
        <v>7500</v>
      </c>
      <c r="C8" t="n">
        <v>1250</v>
      </c>
      <c r="D8" t="n">
        <v>9</v>
      </c>
      <c r="E8" t="n">
        <v>0</v>
      </c>
      <c r="F8" t="n">
        <v>-0.6471666286186903</v>
      </c>
      <c r="G8" t="n">
        <v>-0.08128390683026435</v>
      </c>
    </row>
    <row r="9">
      <c r="A9" t="n">
        <v>49</v>
      </c>
      <c r="B9" t="n">
        <v>7500</v>
      </c>
      <c r="C9" t="n">
        <v>1400</v>
      </c>
      <c r="D9" t="n">
        <v>10</v>
      </c>
      <c r="E9" t="n">
        <v>1</v>
      </c>
      <c r="F9" t="n">
        <v>-0.4215809384164558</v>
      </c>
      <c r="G9" t="n">
        <v>-0.2231836742363878</v>
      </c>
    </row>
    <row r="10">
      <c r="A10" t="n">
        <v>52</v>
      </c>
      <c r="B10" t="n">
        <v>9800</v>
      </c>
      <c r="C10" t="n">
        <v>1700</v>
      </c>
      <c r="D10" t="n">
        <v>12</v>
      </c>
      <c r="E10" t="n">
        <v>1</v>
      </c>
      <c r="F10" t="n">
        <v>0.08106134711526591</v>
      </c>
      <c r="G10" t="n">
        <v>-0.1377036327012556</v>
      </c>
    </row>
    <row r="11">
      <c r="A11" t="n">
        <v>55</v>
      </c>
      <c r="B11" t="n">
        <v>11000</v>
      </c>
      <c r="C11" t="n">
        <v>2100</v>
      </c>
      <c r="D11" t="n">
        <v>14</v>
      </c>
      <c r="E11" t="n">
        <v>1</v>
      </c>
      <c r="F11" t="n">
        <v>0.5512643247747445</v>
      </c>
      <c r="G11" t="n">
        <v>-0.1839543170640381</v>
      </c>
    </row>
    <row r="12">
      <c r="A12" t="n">
        <v>58</v>
      </c>
      <c r="B12" t="n">
        <v>13500</v>
      </c>
      <c r="C12" t="n">
        <v>2500</v>
      </c>
      <c r="D12" t="n">
        <v>16</v>
      </c>
      <c r="E12" t="n">
        <v>1</v>
      </c>
      <c r="F12" t="n">
        <v>1.107503768669124</v>
      </c>
      <c r="G12" t="n">
        <v>-0.08721285761735803</v>
      </c>
    </row>
    <row r="13">
      <c r="A13" t="n">
        <v>61</v>
      </c>
      <c r="B13" t="n">
        <v>15000</v>
      </c>
      <c r="C13" t="n">
        <v>2900</v>
      </c>
      <c r="D13" t="n">
        <v>18</v>
      </c>
      <c r="E13" t="n">
        <v>1</v>
      </c>
      <c r="F13" t="n">
        <v>1.597561315459733</v>
      </c>
      <c r="G13" t="n">
        <v>-0.1004653549471876</v>
      </c>
    </row>
    <row r="14">
      <c r="A14" t="n">
        <v>64</v>
      </c>
      <c r="B14" t="n">
        <v>7500</v>
      </c>
      <c r="C14" t="n">
        <v>3200</v>
      </c>
      <c r="D14" t="n">
        <v>20</v>
      </c>
      <c r="E14" t="n">
        <v>1</v>
      </c>
      <c r="F14" t="n">
        <v>1.451621009374509</v>
      </c>
      <c r="G14" t="n">
        <v>-1.09292608982185</v>
      </c>
    </row>
    <row r="15">
      <c r="A15" t="n">
        <v>68</v>
      </c>
      <c r="B15" t="n">
        <v>21000</v>
      </c>
      <c r="C15" t="n">
        <v>3800</v>
      </c>
      <c r="D15" t="n">
        <v>24</v>
      </c>
      <c r="E15" t="n">
        <v>1</v>
      </c>
      <c r="F15" t="n">
        <v>2.97875949252056</v>
      </c>
      <c r="G15" t="n">
        <v>0.1345091924002882</v>
      </c>
    </row>
    <row r="16">
      <c r="A16" t="n">
        <v>72</v>
      </c>
      <c r="B16" t="n">
        <v>30000</v>
      </c>
      <c r="C16" t="n">
        <v>4500</v>
      </c>
      <c r="D16" t="n">
        <v>30</v>
      </c>
      <c r="E16" t="n">
        <v>1</v>
      </c>
      <c r="F16" t="n">
        <v>4.377034344797472</v>
      </c>
      <c r="G16" t="n">
        <v>0.8372338327262088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Componente</t>
        </is>
      </c>
      <c r="B1" t="inlineStr">
        <is>
          <t>Variância_%</t>
        </is>
      </c>
      <c r="C1" t="inlineStr">
        <is>
          <t>Acumulada_%</t>
        </is>
      </c>
    </row>
    <row r="2">
      <c r="A2" t="inlineStr">
        <is>
          <t>PC1</t>
        </is>
      </c>
      <c r="B2" t="n">
        <v>95.17</v>
      </c>
      <c r="C2" t="n">
        <v>95.17</v>
      </c>
    </row>
    <row r="3">
      <c r="A3" t="inlineStr">
        <is>
          <t>PC2</t>
        </is>
      </c>
      <c r="B3" t="n">
        <v>3.91</v>
      </c>
      <c r="C3" t="n">
        <v>99.08</v>
      </c>
    </row>
    <row r="4">
      <c r="A4" t="inlineStr">
        <is>
          <t>PC3</t>
        </is>
      </c>
      <c r="B4" t="n">
        <v>0.89</v>
      </c>
      <c r="C4" t="n">
        <v>99.95999999999999</v>
      </c>
    </row>
    <row r="5">
      <c r="A5" t="inlineStr">
        <is>
          <t>PC4</t>
        </is>
      </c>
      <c r="B5" t="n">
        <v>0.04</v>
      </c>
      <c r="C5" t="n">
        <v>100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Idade</t>
        </is>
      </c>
      <c r="B1" t="inlineStr">
        <is>
          <t>Renda_Mensal</t>
        </is>
      </c>
      <c r="C1" t="inlineStr">
        <is>
          <t>Valor_Compras</t>
        </is>
      </c>
      <c r="D1" t="inlineStr">
        <is>
          <t>Numero_Compras</t>
        </is>
      </c>
      <c r="E1" t="inlineStr">
        <is>
          <t>Classe</t>
        </is>
      </c>
      <c r="F1" t="inlineStr">
        <is>
          <t>Ticket_Medio</t>
        </is>
      </c>
      <c r="G1" t="inlineStr">
        <is>
          <t>Log_Renda</t>
        </is>
      </c>
      <c r="H1" t="inlineStr">
        <is>
          <t>Faixa_Idade</t>
        </is>
      </c>
    </row>
    <row r="2">
      <c r="A2" t="n">
        <v>22</v>
      </c>
      <c r="B2" t="n">
        <v>2200</v>
      </c>
      <c r="C2" t="n">
        <v>300</v>
      </c>
      <c r="D2" t="n">
        <v>2</v>
      </c>
      <c r="E2" t="n">
        <v>0</v>
      </c>
      <c r="F2" t="n">
        <v>150</v>
      </c>
      <c r="G2" t="n">
        <v>7.696212639346407</v>
      </c>
      <c r="H2" t="inlineStr">
        <is>
          <t>Jovem</t>
        </is>
      </c>
    </row>
    <row r="3">
      <c r="A3" t="n">
        <v>27</v>
      </c>
      <c r="B3" t="n">
        <v>2800</v>
      </c>
      <c r="C3" t="n">
        <v>450</v>
      </c>
      <c r="D3" t="n">
        <v>3</v>
      </c>
      <c r="E3" t="n">
        <v>0</v>
      </c>
      <c r="F3" t="n">
        <v>150</v>
      </c>
      <c r="G3" t="n">
        <v>7.937374696163295</v>
      </c>
      <c r="H3" t="inlineStr">
        <is>
          <t>Jovem</t>
        </is>
      </c>
    </row>
    <row r="4">
      <c r="A4" t="n">
        <v>31</v>
      </c>
      <c r="B4" t="n">
        <v>3200</v>
      </c>
      <c r="C4" t="n">
        <v>520</v>
      </c>
      <c r="D4" t="n">
        <v>4</v>
      </c>
      <c r="E4" t="n">
        <v>0</v>
      </c>
      <c r="F4" t="n">
        <v>130</v>
      </c>
      <c r="G4" t="n">
        <v>8.070906088787819</v>
      </c>
      <c r="H4" t="inlineStr">
        <is>
          <t>Jovem</t>
        </is>
      </c>
    </row>
    <row r="5">
      <c r="A5" t="n">
        <v>35</v>
      </c>
      <c r="B5" t="n">
        <v>4500</v>
      </c>
      <c r="C5" t="n">
        <v>700</v>
      </c>
      <c r="D5" t="n">
        <v>5</v>
      </c>
      <c r="E5" t="n">
        <v>0</v>
      </c>
      <c r="F5" t="n">
        <v>140</v>
      </c>
      <c r="G5" t="n">
        <v>8.411832675758411</v>
      </c>
      <c r="H5" t="inlineStr">
        <is>
          <t>Jovem</t>
        </is>
      </c>
    </row>
    <row r="6">
      <c r="A6" t="n">
        <v>39</v>
      </c>
      <c r="B6" t="n">
        <v>5200</v>
      </c>
      <c r="C6" t="n">
        <v>850</v>
      </c>
      <c r="D6" t="n">
        <v>6</v>
      </c>
      <c r="E6" t="n">
        <v>0</v>
      </c>
      <c r="F6" t="n">
        <v>141.6666666666667</v>
      </c>
      <c r="G6" t="n">
        <v>8.556413904569519</v>
      </c>
      <c r="H6" t="inlineStr">
        <is>
          <t>Adulto</t>
        </is>
      </c>
    </row>
    <row r="7">
      <c r="A7" t="n">
        <v>42</v>
      </c>
      <c r="B7" t="n">
        <v>6100</v>
      </c>
      <c r="C7" t="n">
        <v>1100</v>
      </c>
      <c r="D7" t="n">
        <v>8</v>
      </c>
      <c r="E7" t="n">
        <v>0</v>
      </c>
      <c r="F7" t="n">
        <v>137.5</v>
      </c>
      <c r="G7" t="n">
        <v>8.716044050161402</v>
      </c>
      <c r="H7" t="inlineStr">
        <is>
          <t>Adulto</t>
        </is>
      </c>
    </row>
    <row r="8">
      <c r="A8" t="n">
        <v>46</v>
      </c>
      <c r="B8" t="n">
        <v>7500</v>
      </c>
      <c r="C8" t="n">
        <v>1250</v>
      </c>
      <c r="D8" t="n">
        <v>9</v>
      </c>
      <c r="E8" t="n">
        <v>0</v>
      </c>
      <c r="F8" t="n">
        <v>138.8888888888889</v>
      </c>
      <c r="G8" t="n">
        <v>8.922658299524402</v>
      </c>
      <c r="H8" t="inlineStr">
        <is>
          <t>Adulto</t>
        </is>
      </c>
    </row>
    <row r="9">
      <c r="A9" t="n">
        <v>49</v>
      </c>
      <c r="B9" t="n">
        <v>7500</v>
      </c>
      <c r="C9" t="n">
        <v>1400</v>
      </c>
      <c r="D9" t="n">
        <v>10</v>
      </c>
      <c r="E9" t="n">
        <v>1</v>
      </c>
      <c r="F9" t="n">
        <v>140</v>
      </c>
      <c r="G9" t="n">
        <v>8.922658299524402</v>
      </c>
      <c r="H9" t="inlineStr">
        <is>
          <t>Adulto</t>
        </is>
      </c>
    </row>
    <row r="10">
      <c r="A10" t="n">
        <v>52</v>
      </c>
      <c r="B10" t="n">
        <v>9800</v>
      </c>
      <c r="C10" t="n">
        <v>1700</v>
      </c>
      <c r="D10" t="n">
        <v>12</v>
      </c>
      <c r="E10" t="n">
        <v>1</v>
      </c>
      <c r="F10" t="n">
        <v>141.6666666666667</v>
      </c>
      <c r="G10" t="n">
        <v>9.190137664658664</v>
      </c>
      <c r="H10" t="inlineStr">
        <is>
          <t>Maduro</t>
        </is>
      </c>
    </row>
    <row r="11">
      <c r="A11" t="n">
        <v>55</v>
      </c>
      <c r="B11" t="n">
        <v>11000</v>
      </c>
      <c r="C11" t="n">
        <v>2100</v>
      </c>
      <c r="D11" t="n">
        <v>14</v>
      </c>
      <c r="E11" t="n">
        <v>1</v>
      </c>
      <c r="F11" t="n">
        <v>150</v>
      </c>
      <c r="G11" t="n">
        <v>9.305650551780507</v>
      </c>
      <c r="H11" t="inlineStr">
        <is>
          <t>Maduro</t>
        </is>
      </c>
    </row>
    <row r="12">
      <c r="A12" t="n">
        <v>58</v>
      </c>
      <c r="B12" t="n">
        <v>13500</v>
      </c>
      <c r="C12" t="n">
        <v>2500</v>
      </c>
      <c r="D12" t="n">
        <v>16</v>
      </c>
      <c r="E12" t="n">
        <v>1</v>
      </c>
      <c r="F12" t="n">
        <v>156.25</v>
      </c>
      <c r="G12" t="n">
        <v>9.510444964426521</v>
      </c>
      <c r="H12" t="inlineStr">
        <is>
          <t>Maduro</t>
        </is>
      </c>
    </row>
    <row r="13">
      <c r="A13" t="n">
        <v>61</v>
      </c>
      <c r="B13" t="n">
        <v>15000</v>
      </c>
      <c r="C13" t="n">
        <v>2900</v>
      </c>
      <c r="D13" t="n">
        <v>18</v>
      </c>
      <c r="E13" t="n">
        <v>1</v>
      </c>
      <c r="F13" t="n">
        <v>161.1111111111111</v>
      </c>
      <c r="G13" t="n">
        <v>9.615805480084347</v>
      </c>
      <c r="H13" t="inlineStr">
        <is>
          <t>Maduro</t>
        </is>
      </c>
    </row>
    <row r="14">
      <c r="A14" t="n">
        <v>64</v>
      </c>
      <c r="B14" t="n">
        <v>7500</v>
      </c>
      <c r="C14" t="n">
        <v>3200</v>
      </c>
      <c r="D14" t="n">
        <v>20</v>
      </c>
      <c r="E14" t="n">
        <v>1</v>
      </c>
      <c r="F14" t="n">
        <v>160</v>
      </c>
      <c r="G14" t="n">
        <v>8.922658299524402</v>
      </c>
      <c r="H14" t="inlineStr">
        <is>
          <t>Maduro</t>
        </is>
      </c>
    </row>
    <row r="15">
      <c r="A15" t="n">
        <v>68</v>
      </c>
      <c r="B15" t="n">
        <v>21000</v>
      </c>
      <c r="C15" t="n">
        <v>3800</v>
      </c>
      <c r="D15" t="n">
        <v>24</v>
      </c>
      <c r="E15" t="n">
        <v>1</v>
      </c>
      <c r="F15" t="n">
        <v>158.3333333333333</v>
      </c>
      <c r="G15" t="n">
        <v>9.952277716705559</v>
      </c>
      <c r="H15" t="inlineStr">
        <is>
          <t>Senior</t>
        </is>
      </c>
    </row>
    <row r="16">
      <c r="A16" t="n">
        <v>72</v>
      </c>
      <c r="B16" t="n">
        <v>30000</v>
      </c>
      <c r="C16" t="n">
        <v>4500</v>
      </c>
      <c r="D16" t="n">
        <v>30</v>
      </c>
      <c r="E16" t="n">
        <v>1</v>
      </c>
      <c r="F16" t="n">
        <v>150</v>
      </c>
      <c r="G16" t="n">
        <v>10.30895266064429</v>
      </c>
      <c r="H16" t="inlineStr">
        <is>
          <t>Senior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2026-09-26T18:11:34Z</dcterms:created>
  <dcterms:modified xmlns:dcterms="http://purl.org/dc/terms/" xmlns:xsi="http://www.w3.org/2001/XMLSchema-instance" xsi:type="dcterms:W3CDTF">2026-09-26T18:11:34Z</dcterms:modified>
</cp:coreProperties>
</file>