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FGV - aulas\MATERIAL PARA AULAS - MODELAGEM PREDITIVA\Atividades - Exercícios\"/>
    </mc:Choice>
  </mc:AlternateContent>
  <xr:revisionPtr revIDLastSave="0" documentId="13_ncr:1_{426B4A82-B225-4725-ADB4-E0D1F65C0CD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dos Originais" sheetId="1" r:id="rId1"/>
    <sheet name="Dados Tratad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2" l="1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E12" i="2"/>
  <c r="E11" i="2"/>
  <c r="E10" i="2"/>
  <c r="E8" i="2"/>
  <c r="D16" i="2"/>
  <c r="E16" i="2" s="1"/>
  <c r="D15" i="2"/>
  <c r="E15" i="2" s="1"/>
  <c r="D14" i="2"/>
  <c r="E14" i="2" s="1"/>
  <c r="D13" i="2"/>
  <c r="E13" i="2" s="1"/>
  <c r="D12" i="2"/>
  <c r="D11" i="2"/>
  <c r="D10" i="2"/>
  <c r="D9" i="2"/>
  <c r="E9" i="2" s="1"/>
  <c r="D8" i="2"/>
  <c r="D7" i="2"/>
  <c r="E7" i="2" s="1"/>
  <c r="D6" i="2"/>
  <c r="E6" i="2" s="1"/>
  <c r="D5" i="2"/>
  <c r="E5" i="2" s="1"/>
  <c r="D4" i="2"/>
  <c r="E4" i="2" s="1"/>
  <c r="D3" i="2"/>
  <c r="E3" i="2" s="1"/>
  <c r="D2" i="2"/>
  <c r="E2" i="2" s="1"/>
  <c r="B28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B25" i="2"/>
  <c r="B23" i="2"/>
  <c r="B21" i="2"/>
  <c r="B19" i="2"/>
</calcChain>
</file>

<file path=xl/sharedStrings.xml><?xml version="1.0" encoding="utf-8"?>
<sst xmlns="http://schemas.openxmlformats.org/spreadsheetml/2006/main" count="68" uniqueCount="25">
  <si>
    <t>Idade</t>
  </si>
  <si>
    <t>Renda_Mensal</t>
  </si>
  <si>
    <t>Estado_Civil</t>
  </si>
  <si>
    <t>Valor_Compras</t>
  </si>
  <si>
    <t>Numero_Compras</t>
  </si>
  <si>
    <t>Classe</t>
  </si>
  <si>
    <t>Casado</t>
  </si>
  <si>
    <t>Solteiro</t>
  </si>
  <si>
    <t>Correlação entre Idade e Renda mensal:</t>
  </si>
  <si>
    <t>Ticket médio</t>
  </si>
  <si>
    <t>Partição</t>
  </si>
  <si>
    <t>Treinamento</t>
  </si>
  <si>
    <t>Teste</t>
  </si>
  <si>
    <t>Log da Renda</t>
  </si>
  <si>
    <t>Faixa de idades</t>
  </si>
  <si>
    <t>Até 30</t>
  </si>
  <si>
    <t>31–50</t>
  </si>
  <si>
    <t>Acima de 50</t>
  </si>
  <si>
    <t>Faixa de logs de renda</t>
  </si>
  <si>
    <t>Faixa de tickets médios</t>
  </si>
  <si>
    <t>Correlação entre Idade e Valor das compras:</t>
  </si>
  <si>
    <t>Correlação entre Renda mensal e Valor das compras:</t>
  </si>
  <si>
    <t>Correlação entre Valor da Compras e Número de compras:</t>
  </si>
  <si>
    <t>Mediana de valores de Renda mensal dos dados de treinamento originalmente presentes:</t>
  </si>
  <si>
    <t>Usamos o valor acima para preencher os faltantes de treinamento e de testes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</si>
</sst>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FF0000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showGridLines="0" tabSelected="1" workbookViewId="0"/>
  </sheetViews>
  <sheetFormatPr defaultRowHeight="15" x14ac:dyDescent="0.25"/>
  <cols>
    <col min="1" max="1" width="12" customWidth="1"/>
    <col min="2" max="2" width="14.7109375" customWidth="1"/>
    <col min="3" max="3" width="14" customWidth="1"/>
    <col min="4" max="4" width="15" customWidth="1"/>
    <col min="5" max="5" width="17.5703125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22</v>
      </c>
      <c r="B2" s="2">
        <v>2200</v>
      </c>
      <c r="C2" s="2" t="s">
        <v>6</v>
      </c>
      <c r="D2" s="2">
        <v>300</v>
      </c>
      <c r="E2" s="2">
        <v>2</v>
      </c>
      <c r="F2" s="2">
        <v>0</v>
      </c>
    </row>
    <row r="3" spans="1:6" x14ac:dyDescent="0.25">
      <c r="A3" s="2">
        <v>27</v>
      </c>
      <c r="B3" s="2">
        <v>2800</v>
      </c>
      <c r="C3" s="2" t="s">
        <v>6</v>
      </c>
      <c r="D3" s="2">
        <v>450</v>
      </c>
      <c r="E3" s="2">
        <v>3</v>
      </c>
      <c r="F3" s="2">
        <v>0</v>
      </c>
    </row>
    <row r="4" spans="1:6" x14ac:dyDescent="0.25">
      <c r="A4" s="2">
        <v>31</v>
      </c>
      <c r="B4" s="2">
        <v>3200</v>
      </c>
      <c r="C4" s="2" t="s">
        <v>6</v>
      </c>
      <c r="D4" s="2">
        <v>520</v>
      </c>
      <c r="E4" s="2">
        <v>4</v>
      </c>
      <c r="F4" s="2">
        <v>0</v>
      </c>
    </row>
    <row r="5" spans="1:6" x14ac:dyDescent="0.25">
      <c r="A5" s="2">
        <v>35</v>
      </c>
      <c r="B5" s="2">
        <v>4500</v>
      </c>
      <c r="C5" s="2" t="s">
        <v>6</v>
      </c>
      <c r="D5" s="2">
        <v>700</v>
      </c>
      <c r="E5" s="2">
        <v>5</v>
      </c>
      <c r="F5" s="2">
        <v>0</v>
      </c>
    </row>
    <row r="6" spans="1:6" x14ac:dyDescent="0.25">
      <c r="A6" s="2">
        <v>39</v>
      </c>
      <c r="B6" s="2">
        <v>5200</v>
      </c>
      <c r="C6" s="2" t="s">
        <v>6</v>
      </c>
      <c r="D6" s="2">
        <v>850</v>
      </c>
      <c r="E6" s="2">
        <v>6</v>
      </c>
      <c r="F6" s="2">
        <v>0</v>
      </c>
    </row>
    <row r="7" spans="1:6" x14ac:dyDescent="0.25">
      <c r="A7" s="2">
        <v>42</v>
      </c>
      <c r="B7" s="2">
        <v>6100</v>
      </c>
      <c r="C7" s="2" t="s">
        <v>6</v>
      </c>
      <c r="D7" s="2">
        <v>1100</v>
      </c>
      <c r="E7" s="2">
        <v>8</v>
      </c>
      <c r="F7" s="2">
        <v>0</v>
      </c>
    </row>
    <row r="8" spans="1:6" x14ac:dyDescent="0.25">
      <c r="A8" s="2">
        <v>46</v>
      </c>
      <c r="B8" s="2">
        <v>7500</v>
      </c>
      <c r="C8" s="2" t="s">
        <v>6</v>
      </c>
      <c r="D8" s="2">
        <v>1250</v>
      </c>
      <c r="E8" s="2">
        <v>9</v>
      </c>
      <c r="F8" s="2">
        <v>0</v>
      </c>
    </row>
    <row r="9" spans="1:6" x14ac:dyDescent="0.25">
      <c r="A9" s="2">
        <v>49</v>
      </c>
      <c r="B9" s="2"/>
      <c r="C9" s="2" t="s">
        <v>7</v>
      </c>
      <c r="D9" s="2">
        <v>1400</v>
      </c>
      <c r="E9" s="2">
        <v>10</v>
      </c>
      <c r="F9" s="2">
        <v>1</v>
      </c>
    </row>
    <row r="10" spans="1:6" x14ac:dyDescent="0.25">
      <c r="A10" s="2">
        <v>52</v>
      </c>
      <c r="B10" s="2">
        <v>9800</v>
      </c>
      <c r="C10" s="2" t="s">
        <v>6</v>
      </c>
      <c r="D10" s="2">
        <v>1700</v>
      </c>
      <c r="E10" s="2">
        <v>12</v>
      </c>
      <c r="F10" s="2">
        <v>1</v>
      </c>
    </row>
    <row r="11" spans="1:6" x14ac:dyDescent="0.25">
      <c r="A11" s="2">
        <v>55</v>
      </c>
      <c r="B11" s="2">
        <v>11000</v>
      </c>
      <c r="C11" s="2" t="s">
        <v>6</v>
      </c>
      <c r="D11" s="2">
        <v>2100</v>
      </c>
      <c r="E11" s="2">
        <v>14</v>
      </c>
      <c r="F11" s="2">
        <v>1</v>
      </c>
    </row>
    <row r="12" spans="1:6" x14ac:dyDescent="0.25">
      <c r="A12" s="2">
        <v>58</v>
      </c>
      <c r="B12" s="2">
        <v>13500</v>
      </c>
      <c r="C12" s="2" t="s">
        <v>6</v>
      </c>
      <c r="D12" s="2">
        <v>2500</v>
      </c>
      <c r="E12" s="2">
        <v>16</v>
      </c>
      <c r="F12" s="2">
        <v>1</v>
      </c>
    </row>
    <row r="13" spans="1:6" x14ac:dyDescent="0.25">
      <c r="A13" s="2">
        <v>61</v>
      </c>
      <c r="B13" s="2">
        <v>15000</v>
      </c>
      <c r="C13" s="2" t="s">
        <v>6</v>
      </c>
      <c r="D13" s="2">
        <v>2900</v>
      </c>
      <c r="E13" s="2">
        <v>18</v>
      </c>
      <c r="F13" s="2">
        <v>1</v>
      </c>
    </row>
    <row r="14" spans="1:6" x14ac:dyDescent="0.25">
      <c r="A14" s="2">
        <v>64</v>
      </c>
      <c r="B14" s="2"/>
      <c r="C14" s="2" t="s">
        <v>6</v>
      </c>
      <c r="D14" s="2">
        <v>3200</v>
      </c>
      <c r="E14" s="2">
        <v>20</v>
      </c>
      <c r="F14" s="2">
        <v>1</v>
      </c>
    </row>
    <row r="15" spans="1:6" x14ac:dyDescent="0.25">
      <c r="A15" s="2">
        <v>68</v>
      </c>
      <c r="B15" s="2">
        <v>21000</v>
      </c>
      <c r="C15" s="2" t="s">
        <v>6</v>
      </c>
      <c r="D15" s="2">
        <v>3800</v>
      </c>
      <c r="E15" s="2">
        <v>24</v>
      </c>
      <c r="F15" s="2">
        <v>1</v>
      </c>
    </row>
    <row r="16" spans="1:6" x14ac:dyDescent="0.25">
      <c r="A16" s="2">
        <v>72</v>
      </c>
      <c r="B16" s="2">
        <v>30000</v>
      </c>
      <c r="C16" s="2" t="s">
        <v>6</v>
      </c>
      <c r="D16" s="2">
        <v>4500</v>
      </c>
      <c r="E16" s="2">
        <v>30</v>
      </c>
      <c r="F16" s="2">
        <v>1</v>
      </c>
    </row>
  </sheetData>
  <conditionalFormatting sqref="F2:F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9"/>
  <sheetViews>
    <sheetView showGridLines="0" workbookViewId="0">
      <selection activeCell="B30" sqref="B30"/>
    </sheetView>
  </sheetViews>
  <sheetFormatPr defaultRowHeight="15" x14ac:dyDescent="0.25"/>
  <cols>
    <col min="1" max="1" width="12" customWidth="1"/>
    <col min="2" max="2" width="16.42578125" customWidth="1"/>
    <col min="3" max="4" width="15.5703125" customWidth="1"/>
    <col min="5" max="5" width="22.140625" customWidth="1"/>
    <col min="6" max="6" width="15" customWidth="1"/>
    <col min="7" max="7" width="17.5703125" customWidth="1"/>
    <col min="8" max="8" width="16.140625" customWidth="1"/>
    <col min="9" max="9" width="23.7109375" customWidth="1"/>
    <col min="10" max="10" width="10.7109375" customWidth="1"/>
    <col min="11" max="11" width="17.140625" customWidth="1"/>
    <col min="12" max="12" width="3.42578125" customWidth="1"/>
  </cols>
  <sheetData>
    <row r="1" spans="1:11" x14ac:dyDescent="0.25">
      <c r="A1" s="1" t="s">
        <v>0</v>
      </c>
      <c r="B1" s="7" t="s">
        <v>14</v>
      </c>
      <c r="C1" s="1" t="s">
        <v>1</v>
      </c>
      <c r="D1" s="7" t="s">
        <v>13</v>
      </c>
      <c r="E1" s="7" t="s">
        <v>18</v>
      </c>
      <c r="F1" s="1" t="s">
        <v>3</v>
      </c>
      <c r="G1" s="1" t="s">
        <v>4</v>
      </c>
      <c r="H1" s="1" t="s">
        <v>9</v>
      </c>
      <c r="I1" s="1" t="s">
        <v>19</v>
      </c>
      <c r="J1" s="1" t="s">
        <v>5</v>
      </c>
      <c r="K1" s="5" t="s">
        <v>10</v>
      </c>
    </row>
    <row r="2" spans="1:11" x14ac:dyDescent="0.25">
      <c r="A2" s="2">
        <v>22</v>
      </c>
      <c r="B2" s="2" t="s">
        <v>15</v>
      </c>
      <c r="C2" s="4">
        <v>2200</v>
      </c>
      <c r="D2" s="8">
        <f>LN(1+C2)</f>
        <v>7.6966670815264617</v>
      </c>
      <c r="E2" s="8" t="str">
        <f>IF(D2&lt;9,"Baixa",IF(D2&lt;9.9,"Média","Alta"))</f>
        <v>Baixa</v>
      </c>
      <c r="F2" s="2">
        <v>300</v>
      </c>
      <c r="G2" s="2">
        <v>2</v>
      </c>
      <c r="H2" s="3">
        <f>F2/G2</f>
        <v>150</v>
      </c>
      <c r="I2" s="3" t="str">
        <f>IF(H2&lt;=140,"Baixo",IF(H2&lt;=150,"Médio","Alto"))</f>
        <v>Médio</v>
      </c>
      <c r="J2" s="2">
        <v>0</v>
      </c>
      <c r="K2" s="2" t="s">
        <v>11</v>
      </c>
    </row>
    <row r="3" spans="1:11" x14ac:dyDescent="0.25">
      <c r="A3" s="2">
        <v>27</v>
      </c>
      <c r="B3" s="2" t="s">
        <v>15</v>
      </c>
      <c r="C3" s="4">
        <v>2800</v>
      </c>
      <c r="D3" s="8">
        <f t="shared" ref="D3:D16" si="0">LN(1+C3)</f>
        <v>7.9377317752601089</v>
      </c>
      <c r="E3" s="8" t="str">
        <f t="shared" ref="E3:E16" si="1">IF(D3&lt;9,"Baixa",IF(D3&lt;9.9,"Média","Alta"))</f>
        <v>Baixa</v>
      </c>
      <c r="F3" s="2">
        <v>450</v>
      </c>
      <c r="G3" s="2">
        <v>3</v>
      </c>
      <c r="H3" s="3">
        <f t="shared" ref="H3:H16" si="2">F3/G3</f>
        <v>150</v>
      </c>
      <c r="I3" s="3" t="str">
        <f t="shared" ref="I3:I16" si="3">IF(H3&lt;=140,"Baixo",IF(H3&lt;=150,"Médio","Alto"))</f>
        <v>Médio</v>
      </c>
      <c r="J3" s="2">
        <v>0</v>
      </c>
      <c r="K3" s="2" t="s">
        <v>11</v>
      </c>
    </row>
    <row r="4" spans="1:11" x14ac:dyDescent="0.25">
      <c r="A4" s="2">
        <v>31</v>
      </c>
      <c r="B4" s="2" t="s">
        <v>16</v>
      </c>
      <c r="C4" s="4">
        <v>3200</v>
      </c>
      <c r="D4" s="8">
        <f t="shared" si="0"/>
        <v>8.0712185399698626</v>
      </c>
      <c r="E4" s="8" t="str">
        <f t="shared" si="1"/>
        <v>Baixa</v>
      </c>
      <c r="F4" s="2">
        <v>520</v>
      </c>
      <c r="G4" s="2">
        <v>4</v>
      </c>
      <c r="H4" s="3">
        <f t="shared" si="2"/>
        <v>130</v>
      </c>
      <c r="I4" s="3" t="str">
        <f t="shared" si="3"/>
        <v>Baixo</v>
      </c>
      <c r="J4" s="2">
        <v>0</v>
      </c>
      <c r="K4" s="2" t="s">
        <v>11</v>
      </c>
    </row>
    <row r="5" spans="1:11" x14ac:dyDescent="0.25">
      <c r="A5" s="2">
        <v>35</v>
      </c>
      <c r="B5" s="2" t="s">
        <v>16</v>
      </c>
      <c r="C5" s="4">
        <v>4500</v>
      </c>
      <c r="D5" s="8">
        <f t="shared" si="0"/>
        <v>8.4120548732929326</v>
      </c>
      <c r="E5" s="8" t="str">
        <f t="shared" si="1"/>
        <v>Baixa</v>
      </c>
      <c r="F5" s="2">
        <v>700</v>
      </c>
      <c r="G5" s="2">
        <v>5</v>
      </c>
      <c r="H5" s="3">
        <f t="shared" si="2"/>
        <v>140</v>
      </c>
      <c r="I5" s="3" t="str">
        <f t="shared" si="3"/>
        <v>Baixo</v>
      </c>
      <c r="J5" s="2">
        <v>0</v>
      </c>
      <c r="K5" s="2" t="s">
        <v>12</v>
      </c>
    </row>
    <row r="6" spans="1:11" x14ac:dyDescent="0.25">
      <c r="A6" s="2">
        <v>39</v>
      </c>
      <c r="B6" s="2" t="s">
        <v>16</v>
      </c>
      <c r="C6" s="4">
        <v>5200</v>
      </c>
      <c r="D6" s="8">
        <f t="shared" si="0"/>
        <v>8.5566061937730726</v>
      </c>
      <c r="E6" s="8" t="str">
        <f t="shared" si="1"/>
        <v>Baixa</v>
      </c>
      <c r="F6" s="2">
        <v>850</v>
      </c>
      <c r="G6" s="2">
        <v>6</v>
      </c>
      <c r="H6" s="3">
        <f t="shared" si="2"/>
        <v>141.66666666666666</v>
      </c>
      <c r="I6" s="3" t="str">
        <f t="shared" si="3"/>
        <v>Médio</v>
      </c>
      <c r="J6" s="2">
        <v>0</v>
      </c>
      <c r="K6" s="2" t="s">
        <v>11</v>
      </c>
    </row>
    <row r="7" spans="1:11" x14ac:dyDescent="0.25">
      <c r="A7" s="2">
        <v>42</v>
      </c>
      <c r="B7" s="2" t="s">
        <v>16</v>
      </c>
      <c r="C7" s="4">
        <v>6100</v>
      </c>
      <c r="D7" s="8">
        <f t="shared" si="0"/>
        <v>8.716207971151853</v>
      </c>
      <c r="E7" s="8" t="str">
        <f t="shared" si="1"/>
        <v>Baixa</v>
      </c>
      <c r="F7" s="2">
        <v>1100</v>
      </c>
      <c r="G7" s="2">
        <v>8</v>
      </c>
      <c r="H7" s="3">
        <f t="shared" si="2"/>
        <v>137.5</v>
      </c>
      <c r="I7" s="3" t="str">
        <f t="shared" si="3"/>
        <v>Baixo</v>
      </c>
      <c r="J7" s="2">
        <v>0</v>
      </c>
      <c r="K7" s="2" t="s">
        <v>11</v>
      </c>
    </row>
    <row r="8" spans="1:11" x14ac:dyDescent="0.25">
      <c r="A8" s="2">
        <v>46</v>
      </c>
      <c r="B8" s="2" t="s">
        <v>16</v>
      </c>
      <c r="C8" s="4">
        <v>7500</v>
      </c>
      <c r="D8" s="8">
        <f t="shared" si="0"/>
        <v>8.922791623969637</v>
      </c>
      <c r="E8" s="8" t="str">
        <f t="shared" si="1"/>
        <v>Baixa</v>
      </c>
      <c r="F8" s="2">
        <v>1250</v>
      </c>
      <c r="G8" s="2">
        <v>9</v>
      </c>
      <c r="H8" s="3">
        <f t="shared" si="2"/>
        <v>138.88888888888889</v>
      </c>
      <c r="I8" s="3" t="str">
        <f t="shared" si="3"/>
        <v>Baixo</v>
      </c>
      <c r="J8" s="2">
        <v>0</v>
      </c>
      <c r="K8" s="2" t="s">
        <v>12</v>
      </c>
    </row>
    <row r="9" spans="1:11" x14ac:dyDescent="0.25">
      <c r="A9" s="2">
        <v>49</v>
      </c>
      <c r="B9" s="2" t="s">
        <v>16</v>
      </c>
      <c r="C9" s="6">
        <v>5650</v>
      </c>
      <c r="D9" s="8">
        <f t="shared" si="0"/>
        <v>8.6395877996298438</v>
      </c>
      <c r="E9" s="8" t="str">
        <f t="shared" si="1"/>
        <v>Baixa</v>
      </c>
      <c r="F9" s="2">
        <v>1400</v>
      </c>
      <c r="G9" s="2">
        <v>10</v>
      </c>
      <c r="H9" s="3">
        <f t="shared" si="2"/>
        <v>140</v>
      </c>
      <c r="I9" s="3" t="str">
        <f t="shared" si="3"/>
        <v>Baixo</v>
      </c>
      <c r="J9" s="2">
        <v>1</v>
      </c>
      <c r="K9" s="2" t="s">
        <v>11</v>
      </c>
    </row>
    <row r="10" spans="1:11" x14ac:dyDescent="0.25">
      <c r="A10" s="2">
        <v>52</v>
      </c>
      <c r="B10" s="2" t="s">
        <v>17</v>
      </c>
      <c r="C10" s="4">
        <v>9800</v>
      </c>
      <c r="D10" s="8">
        <f t="shared" si="0"/>
        <v>9.1902397002691796</v>
      </c>
      <c r="E10" s="8" t="str">
        <f t="shared" si="1"/>
        <v>Média</v>
      </c>
      <c r="F10" s="2">
        <v>1700</v>
      </c>
      <c r="G10" s="2">
        <v>12</v>
      </c>
      <c r="H10" s="3">
        <f t="shared" si="2"/>
        <v>141.66666666666666</v>
      </c>
      <c r="I10" s="3" t="str">
        <f t="shared" si="3"/>
        <v>Médio</v>
      </c>
      <c r="J10" s="2">
        <v>1</v>
      </c>
      <c r="K10" s="2" t="s">
        <v>12</v>
      </c>
    </row>
    <row r="11" spans="1:11" x14ac:dyDescent="0.25">
      <c r="A11" s="2">
        <v>55</v>
      </c>
      <c r="B11" s="2" t="s">
        <v>17</v>
      </c>
      <c r="C11" s="4">
        <v>11000</v>
      </c>
      <c r="D11" s="8">
        <f t="shared" si="0"/>
        <v>9.305741456739435</v>
      </c>
      <c r="E11" s="8" t="str">
        <f t="shared" si="1"/>
        <v>Média</v>
      </c>
      <c r="F11" s="2">
        <v>2100</v>
      </c>
      <c r="G11" s="2">
        <v>14</v>
      </c>
      <c r="H11" s="3">
        <f t="shared" si="2"/>
        <v>150</v>
      </c>
      <c r="I11" s="3" t="str">
        <f t="shared" si="3"/>
        <v>Médio</v>
      </c>
      <c r="J11" s="2">
        <v>1</v>
      </c>
      <c r="K11" s="2" t="s">
        <v>11</v>
      </c>
    </row>
    <row r="12" spans="1:11" x14ac:dyDescent="0.25">
      <c r="A12" s="2">
        <v>58</v>
      </c>
      <c r="B12" s="2" t="s">
        <v>17</v>
      </c>
      <c r="C12" s="4">
        <v>13500</v>
      </c>
      <c r="D12" s="8">
        <f t="shared" si="0"/>
        <v>9.5105190357572464</v>
      </c>
      <c r="E12" s="8" t="str">
        <f t="shared" si="1"/>
        <v>Média</v>
      </c>
      <c r="F12" s="2">
        <v>2500</v>
      </c>
      <c r="G12" s="2">
        <v>16</v>
      </c>
      <c r="H12" s="3">
        <f t="shared" si="2"/>
        <v>156.25</v>
      </c>
      <c r="I12" s="3" t="str">
        <f t="shared" si="3"/>
        <v>Alto</v>
      </c>
      <c r="J12" s="2">
        <v>1</v>
      </c>
      <c r="K12" s="2" t="s">
        <v>11</v>
      </c>
    </row>
    <row r="13" spans="1:11" x14ac:dyDescent="0.25">
      <c r="A13" s="2">
        <v>61</v>
      </c>
      <c r="B13" s="2" t="s">
        <v>17</v>
      </c>
      <c r="C13" s="4">
        <v>15000</v>
      </c>
      <c r="D13" s="8">
        <f t="shared" si="0"/>
        <v>9.6158721445288897</v>
      </c>
      <c r="E13" s="8" t="str">
        <f t="shared" si="1"/>
        <v>Média</v>
      </c>
      <c r="F13" s="2">
        <v>2900</v>
      </c>
      <c r="G13" s="2">
        <v>18</v>
      </c>
      <c r="H13" s="3">
        <f t="shared" si="2"/>
        <v>161.11111111111111</v>
      </c>
      <c r="I13" s="3" t="str">
        <f t="shared" si="3"/>
        <v>Alto</v>
      </c>
      <c r="J13" s="2">
        <v>1</v>
      </c>
      <c r="K13" s="2" t="s">
        <v>12</v>
      </c>
    </row>
    <row r="14" spans="1:11" x14ac:dyDescent="0.25">
      <c r="A14" s="2">
        <v>64</v>
      </c>
      <c r="B14" s="2" t="s">
        <v>17</v>
      </c>
      <c r="C14" s="6">
        <v>5650</v>
      </c>
      <c r="D14" s="8">
        <f t="shared" si="0"/>
        <v>8.6395877996298438</v>
      </c>
      <c r="E14" s="8" t="str">
        <f t="shared" si="1"/>
        <v>Baixa</v>
      </c>
      <c r="F14" s="2">
        <v>3200</v>
      </c>
      <c r="G14" s="2">
        <v>20</v>
      </c>
      <c r="H14" s="3">
        <f t="shared" si="2"/>
        <v>160</v>
      </c>
      <c r="I14" s="3" t="str">
        <f t="shared" si="3"/>
        <v>Alto</v>
      </c>
      <c r="J14" s="2">
        <v>1</v>
      </c>
      <c r="K14" s="2" t="s">
        <v>12</v>
      </c>
    </row>
    <row r="15" spans="1:11" x14ac:dyDescent="0.25">
      <c r="A15" s="2">
        <v>68</v>
      </c>
      <c r="B15" s="2" t="s">
        <v>17</v>
      </c>
      <c r="C15" s="4">
        <v>21000</v>
      </c>
      <c r="D15" s="8">
        <f t="shared" si="0"/>
        <v>9.9523253346194274</v>
      </c>
      <c r="E15" s="8" t="str">
        <f t="shared" si="1"/>
        <v>Alta</v>
      </c>
      <c r="F15" s="2">
        <v>3800</v>
      </c>
      <c r="G15" s="2">
        <v>24</v>
      </c>
      <c r="H15" s="3">
        <f t="shared" si="2"/>
        <v>158.33333333333334</v>
      </c>
      <c r="I15" s="3" t="str">
        <f t="shared" si="3"/>
        <v>Alto</v>
      </c>
      <c r="J15" s="2">
        <v>1</v>
      </c>
      <c r="K15" s="2" t="s">
        <v>11</v>
      </c>
    </row>
    <row r="16" spans="1:11" x14ac:dyDescent="0.25">
      <c r="A16" s="2">
        <v>72</v>
      </c>
      <c r="B16" s="2" t="s">
        <v>17</v>
      </c>
      <c r="C16" s="4">
        <v>30000</v>
      </c>
      <c r="D16" s="8">
        <f t="shared" si="0"/>
        <v>10.308985993422082</v>
      </c>
      <c r="E16" s="8" t="str">
        <f t="shared" si="1"/>
        <v>Alta</v>
      </c>
      <c r="F16" s="2">
        <v>4500</v>
      </c>
      <c r="G16" s="2">
        <v>30</v>
      </c>
      <c r="H16" s="3">
        <f t="shared" si="2"/>
        <v>150</v>
      </c>
      <c r="I16" s="3" t="str">
        <f t="shared" si="3"/>
        <v>Médio</v>
      </c>
      <c r="J16" s="2">
        <v>1</v>
      </c>
      <c r="K16" s="2" t="s">
        <v>12</v>
      </c>
    </row>
    <row r="18" spans="2:2" x14ac:dyDescent="0.25">
      <c r="B18" s="9" t="s">
        <v>8</v>
      </c>
    </row>
    <row r="19" spans="2:2" x14ac:dyDescent="0.25">
      <c r="B19" s="9">
        <f>CORREL(A2:A16,C2:C16)</f>
        <v>0.81871392359676365</v>
      </c>
    </row>
    <row r="20" spans="2:2" x14ac:dyDescent="0.25">
      <c r="B20" s="9" t="s">
        <v>20</v>
      </c>
    </row>
    <row r="21" spans="2:2" x14ac:dyDescent="0.25">
      <c r="B21" s="9">
        <f>CORREL(A2:A16,F2:F16)</f>
        <v>0.95784472642315976</v>
      </c>
    </row>
    <row r="22" spans="2:2" x14ac:dyDescent="0.25">
      <c r="B22" s="9" t="s">
        <v>21</v>
      </c>
    </row>
    <row r="23" spans="2:2" x14ac:dyDescent="0.25">
      <c r="B23" s="9">
        <f>CORREL(C2:C16,F2:F16)</f>
        <v>0.88941671026014246</v>
      </c>
    </row>
    <row r="24" spans="2:2" x14ac:dyDescent="0.25">
      <c r="B24" s="9" t="s">
        <v>22</v>
      </c>
    </row>
    <row r="25" spans="2:2" x14ac:dyDescent="0.25">
      <c r="B25" s="9">
        <f>CORREL(F2:F16,G2:G16)</f>
        <v>0.99755196575623328</v>
      </c>
    </row>
    <row r="26" spans="2:2" x14ac:dyDescent="0.25">
      <c r="B26" s="9"/>
    </row>
    <row r="27" spans="2:2" x14ac:dyDescent="0.25">
      <c r="B27" s="9" t="s">
        <v>23</v>
      </c>
    </row>
    <row r="28" spans="2:2" x14ac:dyDescent="0.25">
      <c r="B28" s="10">
        <f>MEDIAN(C2,C3,C4,C6,C7,C11,C12,C15)</f>
        <v>5650</v>
      </c>
    </row>
    <row r="29" spans="2:2" x14ac:dyDescent="0.25">
      <c r="B29" s="10" t="s">
        <v>24</v>
      </c>
    </row>
  </sheetData>
  <conditionalFormatting sqref="J2:K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 Originais</vt:lpstr>
      <vt:lpstr>Dados Tratados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Roberto Pina Rizzo</cp:lastModifiedBy>
  <dcterms:created xsi:type="dcterms:W3CDTF">2026-08-18T16:08:25Z</dcterms:created>
  <dcterms:modified xsi:type="dcterms:W3CDTF">2026-08-24T18:49:41Z</dcterms:modified>
</cp:coreProperties>
</file>